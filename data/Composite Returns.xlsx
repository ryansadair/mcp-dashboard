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24226"/>
  <mc:AlternateContent xmlns:mc="http://schemas.openxmlformats.org/markup-compatibility/2006">
    <mc:Choice Requires="x15">
      <x15ac:absPath xmlns:x15ac="http://schemas.microsoft.com/office/spreadsheetml/2010/11/ac" url="https://martincp1.sharepoint.com/sites/Eugene/Shared Documents/Performance/Composite Returns/"/>
    </mc:Choice>
  </mc:AlternateContent>
  <xr:revisionPtr revIDLastSave="515" documentId="13_ncr:1_{64601FFC-3467-437C-BD64-6962E978A60F}" xr6:coauthVersionLast="47" xr6:coauthVersionMax="47" xr10:uidLastSave="{B7B5986B-612B-4FBA-AF1F-85BC80A11D9A}"/>
  <bookViews>
    <workbookView xWindow="-120" yWindow="-120" windowWidth="29040" windowHeight="15720" firstSheet="1" activeTab="2" xr2:uid="{4AF3BEAE-418F-4B58-ABD5-8DAA99359507}"/>
  </bookViews>
  <sheets>
    <sheet name="PB_CACHE" sheetId="10" state="veryHidden" r:id="rId1"/>
    <sheet name="Composite Returns" sheetId="1" r:id="rId2"/>
    <sheet name="Period Returns" sheetId="2" r:id="rId3"/>
    <sheet name="Old Returns" sheetId="3" r:id="rId4"/>
  </sheets>
  <definedNames>
    <definedName name="_xlnm.Print_Area" localSheetId="1">'Composite Returns'!$A$1:$S$937</definedName>
    <definedName name="_xlnm.Print_Area" localSheetId="2">'Period Returns'!$A$1:$K$49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2" l="1"/>
  <c r="E33" i="2"/>
  <c r="E34" i="2"/>
  <c r="E35" i="2"/>
  <c r="E36" i="2"/>
  <c r="E37" i="2"/>
  <c r="E38" i="2"/>
  <c r="E39" i="2"/>
  <c r="E40" i="2"/>
  <c r="M571" i="1"/>
  <c r="M572" i="1"/>
  <c r="M573" i="1"/>
  <c r="L573" i="1"/>
  <c r="H573" i="1"/>
  <c r="D573" i="1"/>
  <c r="O571" i="1"/>
  <c r="O572" i="1" s="1"/>
  <c r="O573" i="1" s="1"/>
  <c r="N571" i="1"/>
  <c r="N572" i="1" s="1"/>
  <c r="N573" i="1" s="1"/>
  <c r="K571" i="1"/>
  <c r="K572" i="1" s="1"/>
  <c r="K573" i="1" s="1"/>
  <c r="J571" i="1"/>
  <c r="J572" i="1" s="1"/>
  <c r="J573" i="1" s="1"/>
  <c r="G571" i="1"/>
  <c r="G572" i="1" s="1"/>
  <c r="G573" i="1" s="1"/>
  <c r="F571" i="1"/>
  <c r="F572" i="1" s="1"/>
  <c r="F573" i="1" s="1"/>
  <c r="L739" i="1"/>
  <c r="H739" i="1"/>
  <c r="D739" i="1"/>
  <c r="L904" i="1"/>
  <c r="H904" i="1"/>
  <c r="D904" i="1"/>
  <c r="P446" i="1"/>
  <c r="L446" i="1"/>
  <c r="H446" i="1"/>
  <c r="D446" i="1"/>
  <c r="L559" i="1"/>
  <c r="H559" i="1"/>
  <c r="D559" i="1"/>
  <c r="P312" i="1"/>
  <c r="L312" i="1"/>
  <c r="H312" i="1"/>
  <c r="D312" i="1"/>
  <c r="P166" i="1"/>
  <c r="L166" i="1"/>
  <c r="H166" i="1"/>
  <c r="D166" i="1"/>
  <c r="N566" i="1"/>
  <c r="N567" i="1" s="1"/>
  <c r="N568" i="1" s="1"/>
  <c r="N569" i="1" s="1"/>
  <c r="N570" i="1" s="1"/>
  <c r="N565" i="1"/>
  <c r="J566" i="1"/>
  <c r="J567" i="1" s="1"/>
  <c r="J568" i="1" s="1"/>
  <c r="J569" i="1" s="1"/>
  <c r="J570" i="1" s="1"/>
  <c r="J565" i="1"/>
  <c r="F566" i="1"/>
  <c r="F567" i="1" s="1"/>
  <c r="F568" i="1" s="1"/>
  <c r="F569" i="1" s="1"/>
  <c r="F570" i="1" s="1"/>
  <c r="F565" i="1"/>
  <c r="L901" i="1"/>
  <c r="H901" i="1"/>
  <c r="D901" i="1"/>
  <c r="L736" i="1"/>
  <c r="H736" i="1"/>
  <c r="D736" i="1"/>
  <c r="L570" i="1"/>
  <c r="H570" i="1"/>
  <c r="D570" i="1"/>
  <c r="L556" i="1"/>
  <c r="H556" i="1"/>
  <c r="D556" i="1"/>
  <c r="P443" i="1"/>
  <c r="L443" i="1"/>
  <c r="H443" i="1"/>
  <c r="D443" i="1"/>
  <c r="P309" i="1"/>
  <c r="L309" i="1"/>
  <c r="H309" i="1"/>
  <c r="D309" i="1"/>
  <c r="P163" i="1"/>
  <c r="L163" i="1"/>
  <c r="H163" i="1"/>
  <c r="D163" i="1"/>
  <c r="O565" i="1"/>
  <c r="O566" i="1" s="1"/>
  <c r="O567" i="1" s="1"/>
  <c r="O568" i="1" s="1"/>
  <c r="O569" i="1" s="1"/>
  <c r="O570" i="1" s="1"/>
  <c r="K565" i="1"/>
  <c r="K566" i="1" s="1"/>
  <c r="K567" i="1" s="1"/>
  <c r="K568" i="1" s="1"/>
  <c r="K569" i="1" s="1"/>
  <c r="K570" i="1" s="1"/>
  <c r="L567" i="1"/>
  <c r="H567" i="1"/>
  <c r="D567" i="1"/>
  <c r="G565" i="1"/>
  <c r="G566" i="1" s="1"/>
  <c r="G567" i="1" s="1"/>
  <c r="G568" i="1" s="1"/>
  <c r="G569" i="1" s="1"/>
  <c r="G570" i="1" s="1"/>
  <c r="P440" i="1"/>
  <c r="D440" i="1"/>
  <c r="H440" i="1"/>
  <c r="L440" i="1"/>
  <c r="L898" i="1"/>
  <c r="H898" i="1"/>
  <c r="D898" i="1"/>
  <c r="L733" i="1"/>
  <c r="H733" i="1"/>
  <c r="D733" i="1"/>
  <c r="L553" i="1"/>
  <c r="H553" i="1"/>
  <c r="D553" i="1"/>
  <c r="D306" i="1"/>
  <c r="P306" i="1"/>
  <c r="L306" i="1"/>
  <c r="H306" i="1"/>
  <c r="P160" i="1"/>
  <c r="L160" i="1"/>
  <c r="H160" i="1"/>
  <c r="D160" i="1"/>
  <c r="L895" i="1"/>
  <c r="H895" i="1"/>
  <c r="D895" i="1"/>
  <c r="L730" i="1"/>
  <c r="H730" i="1"/>
  <c r="D730" i="1"/>
  <c r="L550" i="1"/>
  <c r="H550" i="1"/>
  <c r="D550" i="1"/>
  <c r="P437" i="1"/>
  <c r="L437" i="1"/>
  <c r="H437" i="1"/>
  <c r="D437" i="1"/>
  <c r="P303" i="1"/>
  <c r="L303" i="1"/>
  <c r="H303" i="1"/>
  <c r="D303" i="1"/>
  <c r="P157" i="1"/>
  <c r="L157" i="1"/>
  <c r="H157" i="1"/>
  <c r="D157" i="1"/>
  <c r="J7" i="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K6" i="1"/>
  <c r="K7" i="1" s="1"/>
  <c r="B47" i="2" s="1"/>
  <c r="J6" i="1"/>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N746" i="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O745" i="1"/>
  <c r="O746" i="1" s="1"/>
  <c r="O747" i="1" s="1"/>
  <c r="O748" i="1" s="1"/>
  <c r="O749" i="1" s="1"/>
  <c r="O750" i="1" s="1"/>
  <c r="O751" i="1" s="1"/>
  <c r="O752" i="1" s="1"/>
  <c r="O753" i="1" s="1"/>
  <c r="O754" i="1" s="1"/>
  <c r="O755" i="1" s="1"/>
  <c r="O756" i="1" s="1"/>
  <c r="O757" i="1" s="1"/>
  <c r="O758" i="1" s="1"/>
  <c r="O759" i="1" s="1"/>
  <c r="O760" i="1" s="1"/>
  <c r="O761" i="1" s="1"/>
  <c r="O762" i="1" s="1"/>
  <c r="O763" i="1" s="1"/>
  <c r="O764" i="1" s="1"/>
  <c r="O765" i="1" s="1"/>
  <c r="O766" i="1" s="1"/>
  <c r="O767" i="1" s="1"/>
  <c r="O768" i="1" s="1"/>
  <c r="O769" i="1" s="1"/>
  <c r="O770" i="1" s="1"/>
  <c r="O771" i="1" s="1"/>
  <c r="O772" i="1" s="1"/>
  <c r="O773" i="1" s="1"/>
  <c r="O774" i="1" s="1"/>
  <c r="O775" i="1" s="1"/>
  <c r="O776" i="1" s="1"/>
  <c r="O777" i="1" s="1"/>
  <c r="O778" i="1" s="1"/>
  <c r="O779" i="1" s="1"/>
  <c r="O780" i="1" s="1"/>
  <c r="O781" i="1" s="1"/>
  <c r="O782" i="1" s="1"/>
  <c r="O783" i="1" s="1"/>
  <c r="O784" i="1" s="1"/>
  <c r="O785" i="1" s="1"/>
  <c r="O786" i="1" s="1"/>
  <c r="O787" i="1" s="1"/>
  <c r="O788" i="1" s="1"/>
  <c r="O789" i="1" s="1"/>
  <c r="O790" i="1" s="1"/>
  <c r="O791" i="1" s="1"/>
  <c r="O792" i="1" s="1"/>
  <c r="O793" i="1" s="1"/>
  <c r="O794" i="1" s="1"/>
  <c r="O795" i="1" s="1"/>
  <c r="O796" i="1" s="1"/>
  <c r="O797" i="1" s="1"/>
  <c r="O798" i="1" s="1"/>
  <c r="O799" i="1" s="1"/>
  <c r="O800" i="1" s="1"/>
  <c r="O801" i="1" s="1"/>
  <c r="O802" i="1" s="1"/>
  <c r="O803" i="1" s="1"/>
  <c r="O804" i="1" s="1"/>
  <c r="O805" i="1" s="1"/>
  <c r="O806" i="1" s="1"/>
  <c r="O807" i="1" s="1"/>
  <c r="O808" i="1" s="1"/>
  <c r="O809" i="1" s="1"/>
  <c r="O810" i="1" s="1"/>
  <c r="O811" i="1" s="1"/>
  <c r="O812" i="1" s="1"/>
  <c r="O813" i="1" s="1"/>
  <c r="O814" i="1" s="1"/>
  <c r="O815" i="1" s="1"/>
  <c r="O816" i="1" s="1"/>
  <c r="O817" i="1" s="1"/>
  <c r="O818" i="1" s="1"/>
  <c r="O819" i="1" s="1"/>
  <c r="O820" i="1" s="1"/>
  <c r="O821" i="1" s="1"/>
  <c r="O822" i="1" s="1"/>
  <c r="O823" i="1" s="1"/>
  <c r="O824" i="1" s="1"/>
  <c r="O825" i="1" s="1"/>
  <c r="O826" i="1" s="1"/>
  <c r="O827" i="1" s="1"/>
  <c r="O828" i="1" s="1"/>
  <c r="O829" i="1" s="1"/>
  <c r="O830" i="1" s="1"/>
  <c r="O831" i="1" s="1"/>
  <c r="O832" i="1" s="1"/>
  <c r="O833" i="1" s="1"/>
  <c r="O834" i="1" s="1"/>
  <c r="O835" i="1" s="1"/>
  <c r="O836" i="1" s="1"/>
  <c r="O837" i="1" s="1"/>
  <c r="O838" i="1" s="1"/>
  <c r="O839" i="1" s="1"/>
  <c r="O840" i="1" s="1"/>
  <c r="O841" i="1" s="1"/>
  <c r="O842" i="1" s="1"/>
  <c r="O843" i="1" s="1"/>
  <c r="O844" i="1" s="1"/>
  <c r="O845" i="1" s="1"/>
  <c r="O846" i="1" s="1"/>
  <c r="O847" i="1" s="1"/>
  <c r="O848" i="1" s="1"/>
  <c r="O849" i="1" s="1"/>
  <c r="O850" i="1" s="1"/>
  <c r="O851" i="1" s="1"/>
  <c r="O852" i="1" s="1"/>
  <c r="O853" i="1" s="1"/>
  <c r="O854" i="1" s="1"/>
  <c r="O855" i="1" s="1"/>
  <c r="O856" i="1" s="1"/>
  <c r="O857" i="1" s="1"/>
  <c r="O858" i="1" s="1"/>
  <c r="O859" i="1" s="1"/>
  <c r="O860" i="1" s="1"/>
  <c r="O861" i="1" s="1"/>
  <c r="O862" i="1" s="1"/>
  <c r="O863" i="1" s="1"/>
  <c r="O864" i="1" s="1"/>
  <c r="O865" i="1" s="1"/>
  <c r="O866" i="1" s="1"/>
  <c r="O867" i="1" s="1"/>
  <c r="O868" i="1" s="1"/>
  <c r="O869" i="1" s="1"/>
  <c r="O870" i="1" s="1"/>
  <c r="O871" i="1" s="1"/>
  <c r="O872" i="1" s="1"/>
  <c r="O873" i="1" s="1"/>
  <c r="O874" i="1" s="1"/>
  <c r="O875" i="1" s="1"/>
  <c r="O876" i="1" s="1"/>
  <c r="O877" i="1" s="1"/>
  <c r="O878" i="1" s="1"/>
  <c r="O879" i="1" s="1"/>
  <c r="O880" i="1" s="1"/>
  <c r="O881" i="1" s="1"/>
  <c r="O882" i="1" s="1"/>
  <c r="O883" i="1" s="1"/>
  <c r="O884" i="1" s="1"/>
  <c r="O885" i="1" s="1"/>
  <c r="O886" i="1" s="1"/>
  <c r="O887" i="1" s="1"/>
  <c r="O888" i="1" s="1"/>
  <c r="O889" i="1" s="1"/>
  <c r="O890" i="1" s="1"/>
  <c r="O891" i="1" s="1"/>
  <c r="O892" i="1" s="1"/>
  <c r="O893" i="1" s="1"/>
  <c r="O894" i="1" s="1"/>
  <c r="O895" i="1" s="1"/>
  <c r="O896" i="1" s="1"/>
  <c r="O897" i="1" s="1"/>
  <c r="O898" i="1" s="1"/>
  <c r="O899" i="1" s="1"/>
  <c r="O900" i="1" s="1"/>
  <c r="O901" i="1" s="1"/>
  <c r="O902" i="1" s="1"/>
  <c r="O903" i="1" s="1"/>
  <c r="O904" i="1" s="1"/>
  <c r="N745" i="1"/>
  <c r="J746" i="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K745" i="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J745" i="1"/>
  <c r="F746" i="1"/>
  <c r="F747" i="1" s="1"/>
  <c r="F748" i="1" s="1"/>
  <c r="F749" i="1" s="1"/>
  <c r="F750" i="1" s="1"/>
  <c r="F751" i="1" s="1"/>
  <c r="F752" i="1" s="1"/>
  <c r="F753" i="1" s="1"/>
  <c r="F754" i="1" s="1"/>
  <c r="F755" i="1" s="1"/>
  <c r="F756" i="1" s="1"/>
  <c r="F757" i="1" s="1"/>
  <c r="F758" i="1" s="1"/>
  <c r="F759" i="1" s="1"/>
  <c r="F760" i="1" s="1"/>
  <c r="F761" i="1" s="1"/>
  <c r="F762" i="1" s="1"/>
  <c r="F763" i="1" s="1"/>
  <c r="F764" i="1" s="1"/>
  <c r="F765" i="1" s="1"/>
  <c r="F766" i="1" s="1"/>
  <c r="F767" i="1" s="1"/>
  <c r="F768" i="1" s="1"/>
  <c r="F769" i="1" s="1"/>
  <c r="F770" i="1" s="1"/>
  <c r="F771" i="1" s="1"/>
  <c r="F772" i="1" s="1"/>
  <c r="F773" i="1" s="1"/>
  <c r="F774" i="1" s="1"/>
  <c r="F775" i="1" s="1"/>
  <c r="F776" i="1" s="1"/>
  <c r="F777" i="1" s="1"/>
  <c r="F778" i="1" s="1"/>
  <c r="F779" i="1" s="1"/>
  <c r="F780" i="1" s="1"/>
  <c r="F781" i="1" s="1"/>
  <c r="F782" i="1" s="1"/>
  <c r="F783" i="1" s="1"/>
  <c r="F784" i="1" s="1"/>
  <c r="F785" i="1" s="1"/>
  <c r="F786" i="1" s="1"/>
  <c r="F787" i="1" s="1"/>
  <c r="F788" i="1" s="1"/>
  <c r="F789" i="1" s="1"/>
  <c r="F790" i="1" s="1"/>
  <c r="F791" i="1" s="1"/>
  <c r="F792" i="1" s="1"/>
  <c r="F793" i="1" s="1"/>
  <c r="F794" i="1" s="1"/>
  <c r="F795" i="1" s="1"/>
  <c r="F796" i="1" s="1"/>
  <c r="F797" i="1" s="1"/>
  <c r="F798" i="1" s="1"/>
  <c r="F799" i="1" s="1"/>
  <c r="F800" i="1" s="1"/>
  <c r="F801" i="1" s="1"/>
  <c r="F802" i="1" s="1"/>
  <c r="F803" i="1" s="1"/>
  <c r="F804" i="1" s="1"/>
  <c r="F805" i="1" s="1"/>
  <c r="F806" i="1" s="1"/>
  <c r="F807" i="1" s="1"/>
  <c r="F808" i="1" s="1"/>
  <c r="F809" i="1" s="1"/>
  <c r="F810" i="1" s="1"/>
  <c r="F811" i="1" s="1"/>
  <c r="F812" i="1" s="1"/>
  <c r="F813" i="1" s="1"/>
  <c r="F814" i="1" s="1"/>
  <c r="F815" i="1" s="1"/>
  <c r="F816" i="1" s="1"/>
  <c r="F817" i="1" s="1"/>
  <c r="F818" i="1" s="1"/>
  <c r="F819" i="1" s="1"/>
  <c r="F820" i="1" s="1"/>
  <c r="F821" i="1" s="1"/>
  <c r="F822" i="1" s="1"/>
  <c r="F823" i="1" s="1"/>
  <c r="F824" i="1" s="1"/>
  <c r="F825" i="1" s="1"/>
  <c r="F826" i="1" s="1"/>
  <c r="F827" i="1" s="1"/>
  <c r="F828" i="1" s="1"/>
  <c r="F829" i="1" s="1"/>
  <c r="F830" i="1" s="1"/>
  <c r="F831" i="1" s="1"/>
  <c r="F832" i="1" s="1"/>
  <c r="F833" i="1" s="1"/>
  <c r="F834" i="1" s="1"/>
  <c r="F835" i="1" s="1"/>
  <c r="F836" i="1" s="1"/>
  <c r="F837" i="1" s="1"/>
  <c r="F838" i="1" s="1"/>
  <c r="F839" i="1" s="1"/>
  <c r="F840" i="1" s="1"/>
  <c r="F841" i="1" s="1"/>
  <c r="F842" i="1" s="1"/>
  <c r="F843" i="1" s="1"/>
  <c r="F844" i="1" s="1"/>
  <c r="F845" i="1" s="1"/>
  <c r="F846" i="1" s="1"/>
  <c r="F847" i="1" s="1"/>
  <c r="F848" i="1" s="1"/>
  <c r="F849" i="1" s="1"/>
  <c r="F850" i="1" s="1"/>
  <c r="F851" i="1" s="1"/>
  <c r="F852" i="1" s="1"/>
  <c r="F853" i="1" s="1"/>
  <c r="F854" i="1" s="1"/>
  <c r="F855" i="1" s="1"/>
  <c r="F856" i="1" s="1"/>
  <c r="F857" i="1" s="1"/>
  <c r="F858" i="1" s="1"/>
  <c r="F859" i="1" s="1"/>
  <c r="F860" i="1" s="1"/>
  <c r="F861" i="1" s="1"/>
  <c r="F862" i="1" s="1"/>
  <c r="F863" i="1" s="1"/>
  <c r="F864" i="1" s="1"/>
  <c r="F865" i="1" s="1"/>
  <c r="F866" i="1" s="1"/>
  <c r="F867" i="1" s="1"/>
  <c r="F868" i="1" s="1"/>
  <c r="F869" i="1" s="1"/>
  <c r="F870" i="1" s="1"/>
  <c r="F871" i="1" s="1"/>
  <c r="F872" i="1" s="1"/>
  <c r="F873" i="1" s="1"/>
  <c r="F874" i="1" s="1"/>
  <c r="F875" i="1" s="1"/>
  <c r="F876" i="1" s="1"/>
  <c r="F877" i="1" s="1"/>
  <c r="F878" i="1" s="1"/>
  <c r="F879" i="1" s="1"/>
  <c r="F880" i="1" s="1"/>
  <c r="F881" i="1" s="1"/>
  <c r="F882" i="1" s="1"/>
  <c r="F883" i="1" s="1"/>
  <c r="F884" i="1" s="1"/>
  <c r="F885" i="1" s="1"/>
  <c r="F886" i="1" s="1"/>
  <c r="F887" i="1" s="1"/>
  <c r="F888" i="1" s="1"/>
  <c r="F889" i="1" s="1"/>
  <c r="F890" i="1" s="1"/>
  <c r="F891" i="1" s="1"/>
  <c r="F892" i="1" s="1"/>
  <c r="F893" i="1" s="1"/>
  <c r="F894" i="1" s="1"/>
  <c r="F895" i="1" s="1"/>
  <c r="F896" i="1" s="1"/>
  <c r="F897" i="1" s="1"/>
  <c r="F898" i="1" s="1"/>
  <c r="F899" i="1" s="1"/>
  <c r="F900" i="1" s="1"/>
  <c r="F901" i="1" s="1"/>
  <c r="F902" i="1" s="1"/>
  <c r="F903" i="1" s="1"/>
  <c r="F904" i="1" s="1"/>
  <c r="G745" i="1"/>
  <c r="G746" i="1" s="1"/>
  <c r="G747" i="1" s="1"/>
  <c r="G748" i="1" s="1"/>
  <c r="G749" i="1" s="1"/>
  <c r="G750" i="1" s="1"/>
  <c r="G751" i="1" s="1"/>
  <c r="G752" i="1" s="1"/>
  <c r="G753" i="1" s="1"/>
  <c r="G754" i="1" s="1"/>
  <c r="G755" i="1" s="1"/>
  <c r="G756" i="1" s="1"/>
  <c r="G757" i="1" s="1"/>
  <c r="G758" i="1" s="1"/>
  <c r="G759" i="1" s="1"/>
  <c r="G760" i="1" s="1"/>
  <c r="G761" i="1" s="1"/>
  <c r="G762" i="1" s="1"/>
  <c r="G763" i="1" s="1"/>
  <c r="G764" i="1" s="1"/>
  <c r="G765" i="1" s="1"/>
  <c r="G766" i="1" s="1"/>
  <c r="G767" i="1" s="1"/>
  <c r="G768" i="1" s="1"/>
  <c r="G769" i="1" s="1"/>
  <c r="G770" i="1" s="1"/>
  <c r="G771" i="1" s="1"/>
  <c r="G772" i="1" s="1"/>
  <c r="G773" i="1" s="1"/>
  <c r="G774" i="1" s="1"/>
  <c r="G775" i="1" s="1"/>
  <c r="G776" i="1" s="1"/>
  <c r="G777" i="1" s="1"/>
  <c r="G778" i="1" s="1"/>
  <c r="G779" i="1" s="1"/>
  <c r="G780" i="1" s="1"/>
  <c r="G781" i="1" s="1"/>
  <c r="G782" i="1" s="1"/>
  <c r="G783" i="1" s="1"/>
  <c r="G784" i="1" s="1"/>
  <c r="G785" i="1" s="1"/>
  <c r="G786" i="1" s="1"/>
  <c r="G787" i="1" s="1"/>
  <c r="G788" i="1" s="1"/>
  <c r="G789" i="1" s="1"/>
  <c r="G790" i="1" s="1"/>
  <c r="G791" i="1" s="1"/>
  <c r="G792" i="1" s="1"/>
  <c r="G793" i="1" s="1"/>
  <c r="G794" i="1" s="1"/>
  <c r="G795" i="1" s="1"/>
  <c r="G796" i="1" s="1"/>
  <c r="G797" i="1" s="1"/>
  <c r="G798" i="1" s="1"/>
  <c r="G799" i="1" s="1"/>
  <c r="G800" i="1" s="1"/>
  <c r="G801" i="1" s="1"/>
  <c r="G802" i="1" s="1"/>
  <c r="G803" i="1" s="1"/>
  <c r="G804" i="1" s="1"/>
  <c r="G805" i="1" s="1"/>
  <c r="G806" i="1" s="1"/>
  <c r="G807" i="1" s="1"/>
  <c r="G808" i="1" s="1"/>
  <c r="G809" i="1" s="1"/>
  <c r="G810" i="1" s="1"/>
  <c r="G811" i="1" s="1"/>
  <c r="G812" i="1" s="1"/>
  <c r="G813" i="1" s="1"/>
  <c r="G814" i="1" s="1"/>
  <c r="G815" i="1" s="1"/>
  <c r="G816" i="1" s="1"/>
  <c r="G817" i="1" s="1"/>
  <c r="G818" i="1" s="1"/>
  <c r="G819" i="1" s="1"/>
  <c r="G820" i="1" s="1"/>
  <c r="G821" i="1" s="1"/>
  <c r="G822" i="1" s="1"/>
  <c r="G823" i="1" s="1"/>
  <c r="G824" i="1" s="1"/>
  <c r="G825" i="1" s="1"/>
  <c r="G826" i="1" s="1"/>
  <c r="G827" i="1" s="1"/>
  <c r="G828" i="1" s="1"/>
  <c r="G829" i="1" s="1"/>
  <c r="G830" i="1" s="1"/>
  <c r="G831" i="1" s="1"/>
  <c r="G832" i="1" s="1"/>
  <c r="G833" i="1" s="1"/>
  <c r="G834" i="1" s="1"/>
  <c r="G835" i="1" s="1"/>
  <c r="G836" i="1" s="1"/>
  <c r="G837" i="1" s="1"/>
  <c r="G838" i="1" s="1"/>
  <c r="G839" i="1" s="1"/>
  <c r="G840" i="1" s="1"/>
  <c r="G841" i="1" s="1"/>
  <c r="G842" i="1" s="1"/>
  <c r="G843" i="1" s="1"/>
  <c r="G844" i="1" s="1"/>
  <c r="G845" i="1" s="1"/>
  <c r="G846" i="1" s="1"/>
  <c r="G847" i="1" s="1"/>
  <c r="G848" i="1" s="1"/>
  <c r="G849" i="1" s="1"/>
  <c r="G850" i="1" s="1"/>
  <c r="G851" i="1" s="1"/>
  <c r="G852" i="1" s="1"/>
  <c r="G853" i="1" s="1"/>
  <c r="G854" i="1" s="1"/>
  <c r="G855" i="1" s="1"/>
  <c r="G856" i="1" s="1"/>
  <c r="G857" i="1" s="1"/>
  <c r="G858" i="1" s="1"/>
  <c r="G859" i="1" s="1"/>
  <c r="G860" i="1" s="1"/>
  <c r="G861" i="1" s="1"/>
  <c r="G862" i="1" s="1"/>
  <c r="G863" i="1" s="1"/>
  <c r="G864" i="1" s="1"/>
  <c r="G865" i="1" s="1"/>
  <c r="G866" i="1" s="1"/>
  <c r="G867" i="1" s="1"/>
  <c r="G868" i="1" s="1"/>
  <c r="G869" i="1" s="1"/>
  <c r="G870" i="1" s="1"/>
  <c r="G871" i="1" s="1"/>
  <c r="G872" i="1" s="1"/>
  <c r="G873" i="1" s="1"/>
  <c r="G874" i="1" s="1"/>
  <c r="G875" i="1" s="1"/>
  <c r="G876" i="1" s="1"/>
  <c r="G877" i="1" s="1"/>
  <c r="G878" i="1" s="1"/>
  <c r="G879" i="1" s="1"/>
  <c r="G880" i="1" s="1"/>
  <c r="G881" i="1" s="1"/>
  <c r="G882" i="1" s="1"/>
  <c r="G883" i="1" s="1"/>
  <c r="G884" i="1" s="1"/>
  <c r="G885" i="1" s="1"/>
  <c r="G886" i="1" s="1"/>
  <c r="G887" i="1" s="1"/>
  <c r="G888" i="1" s="1"/>
  <c r="G889" i="1" s="1"/>
  <c r="G890" i="1" s="1"/>
  <c r="G891" i="1" s="1"/>
  <c r="G892" i="1" s="1"/>
  <c r="G893" i="1" s="1"/>
  <c r="G894" i="1" s="1"/>
  <c r="G895" i="1" s="1"/>
  <c r="G896" i="1" s="1"/>
  <c r="G897" i="1" s="1"/>
  <c r="G898" i="1" s="1"/>
  <c r="G899" i="1" s="1"/>
  <c r="G900" i="1" s="1"/>
  <c r="G901" i="1" s="1"/>
  <c r="G902" i="1" s="1"/>
  <c r="G903" i="1" s="1"/>
  <c r="G904" i="1" s="1"/>
  <c r="F745" i="1"/>
  <c r="N580" i="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O579" i="1"/>
  <c r="O580" i="1" s="1"/>
  <c r="O581" i="1" s="1"/>
  <c r="O582" i="1" s="1"/>
  <c r="O583" i="1" s="1"/>
  <c r="O584" i="1" s="1"/>
  <c r="O585" i="1" s="1"/>
  <c r="O586" i="1" s="1"/>
  <c r="O587" i="1" s="1"/>
  <c r="O588" i="1" s="1"/>
  <c r="O589" i="1" s="1"/>
  <c r="O590" i="1" s="1"/>
  <c r="O591" i="1" s="1"/>
  <c r="O592" i="1" s="1"/>
  <c r="O593" i="1" s="1"/>
  <c r="O594" i="1" s="1"/>
  <c r="O595" i="1" s="1"/>
  <c r="O596" i="1" s="1"/>
  <c r="O597" i="1" s="1"/>
  <c r="O598" i="1" s="1"/>
  <c r="O599" i="1" s="1"/>
  <c r="O600" i="1" s="1"/>
  <c r="O601" i="1" s="1"/>
  <c r="O602" i="1" s="1"/>
  <c r="O603" i="1" s="1"/>
  <c r="O604" i="1" s="1"/>
  <c r="O605" i="1" s="1"/>
  <c r="O606" i="1" s="1"/>
  <c r="O607" i="1" s="1"/>
  <c r="O608" i="1" s="1"/>
  <c r="O609" i="1" s="1"/>
  <c r="O610" i="1" s="1"/>
  <c r="O611" i="1" s="1"/>
  <c r="O612" i="1" s="1"/>
  <c r="O613" i="1" s="1"/>
  <c r="O614" i="1" s="1"/>
  <c r="O615" i="1" s="1"/>
  <c r="O616" i="1" s="1"/>
  <c r="O617" i="1" s="1"/>
  <c r="O618" i="1" s="1"/>
  <c r="O619" i="1" s="1"/>
  <c r="O620" i="1" s="1"/>
  <c r="O621" i="1" s="1"/>
  <c r="O622" i="1" s="1"/>
  <c r="O623" i="1" s="1"/>
  <c r="O624" i="1" s="1"/>
  <c r="O625" i="1" s="1"/>
  <c r="O626" i="1" s="1"/>
  <c r="O627" i="1" s="1"/>
  <c r="O628" i="1" s="1"/>
  <c r="O629" i="1" s="1"/>
  <c r="O630" i="1" s="1"/>
  <c r="O631" i="1" s="1"/>
  <c r="O632" i="1" s="1"/>
  <c r="O633" i="1" s="1"/>
  <c r="O634" i="1" s="1"/>
  <c r="O635" i="1" s="1"/>
  <c r="O636" i="1" s="1"/>
  <c r="O637" i="1" s="1"/>
  <c r="O638" i="1" s="1"/>
  <c r="O639" i="1" s="1"/>
  <c r="O640" i="1" s="1"/>
  <c r="O641" i="1" s="1"/>
  <c r="O642" i="1" s="1"/>
  <c r="O643" i="1" s="1"/>
  <c r="O644" i="1" s="1"/>
  <c r="O645" i="1" s="1"/>
  <c r="O646" i="1" s="1"/>
  <c r="O647" i="1" s="1"/>
  <c r="O648" i="1" s="1"/>
  <c r="O649" i="1" s="1"/>
  <c r="O650" i="1" s="1"/>
  <c r="O651" i="1" s="1"/>
  <c r="O652" i="1" s="1"/>
  <c r="O653" i="1" s="1"/>
  <c r="O654" i="1" s="1"/>
  <c r="O655" i="1" s="1"/>
  <c r="O656" i="1" s="1"/>
  <c r="O657" i="1" s="1"/>
  <c r="O658" i="1" s="1"/>
  <c r="O659" i="1" s="1"/>
  <c r="O660" i="1" s="1"/>
  <c r="O661" i="1" s="1"/>
  <c r="O662" i="1" s="1"/>
  <c r="O663" i="1" s="1"/>
  <c r="O664" i="1" s="1"/>
  <c r="O665" i="1" s="1"/>
  <c r="O666" i="1" s="1"/>
  <c r="O667" i="1" s="1"/>
  <c r="O668" i="1" s="1"/>
  <c r="O669" i="1" s="1"/>
  <c r="O670" i="1" s="1"/>
  <c r="O671" i="1" s="1"/>
  <c r="O672" i="1" s="1"/>
  <c r="O673" i="1" s="1"/>
  <c r="O674" i="1" s="1"/>
  <c r="O675" i="1" s="1"/>
  <c r="O676" i="1" s="1"/>
  <c r="O677" i="1" s="1"/>
  <c r="O678" i="1" s="1"/>
  <c r="O679" i="1" s="1"/>
  <c r="O680" i="1" s="1"/>
  <c r="O681" i="1" s="1"/>
  <c r="O682" i="1" s="1"/>
  <c r="O683" i="1" s="1"/>
  <c r="O684" i="1" s="1"/>
  <c r="O685" i="1" s="1"/>
  <c r="O686" i="1" s="1"/>
  <c r="O687" i="1" s="1"/>
  <c r="O688" i="1" s="1"/>
  <c r="O689" i="1" s="1"/>
  <c r="O690" i="1" s="1"/>
  <c r="O691" i="1" s="1"/>
  <c r="O692" i="1" s="1"/>
  <c r="O693" i="1" s="1"/>
  <c r="O694" i="1" s="1"/>
  <c r="O695" i="1" s="1"/>
  <c r="O696" i="1" s="1"/>
  <c r="O697" i="1" s="1"/>
  <c r="O698" i="1" s="1"/>
  <c r="O699" i="1" s="1"/>
  <c r="O700" i="1" s="1"/>
  <c r="O701" i="1" s="1"/>
  <c r="O702" i="1" s="1"/>
  <c r="O703" i="1" s="1"/>
  <c r="O704" i="1" s="1"/>
  <c r="O705" i="1" s="1"/>
  <c r="O706" i="1" s="1"/>
  <c r="O707" i="1" s="1"/>
  <c r="O708" i="1" s="1"/>
  <c r="O709" i="1" s="1"/>
  <c r="O710" i="1" s="1"/>
  <c r="O711" i="1" s="1"/>
  <c r="O712" i="1" s="1"/>
  <c r="O713" i="1" s="1"/>
  <c r="O714" i="1" s="1"/>
  <c r="O715" i="1" s="1"/>
  <c r="O716" i="1" s="1"/>
  <c r="O717" i="1" s="1"/>
  <c r="O718" i="1" s="1"/>
  <c r="O719" i="1" s="1"/>
  <c r="O720" i="1" s="1"/>
  <c r="O721" i="1" s="1"/>
  <c r="O722" i="1" s="1"/>
  <c r="O723" i="1" s="1"/>
  <c r="O724" i="1" s="1"/>
  <c r="O725" i="1" s="1"/>
  <c r="O726" i="1" s="1"/>
  <c r="O727" i="1" s="1"/>
  <c r="O728" i="1" s="1"/>
  <c r="O729" i="1" s="1"/>
  <c r="O730" i="1" s="1"/>
  <c r="O731" i="1" s="1"/>
  <c r="O732" i="1" s="1"/>
  <c r="O733" i="1" s="1"/>
  <c r="O734" i="1" s="1"/>
  <c r="O735" i="1" s="1"/>
  <c r="O736" i="1" s="1"/>
  <c r="O737" i="1" s="1"/>
  <c r="O738" i="1" s="1"/>
  <c r="O739" i="1" s="1"/>
  <c r="N579" i="1"/>
  <c r="J580" i="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K579" i="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J579" i="1"/>
  <c r="F580" i="1"/>
  <c r="F581" i="1" s="1"/>
  <c r="F582" i="1" s="1"/>
  <c r="F583" i="1" s="1"/>
  <c r="F584" i="1" s="1"/>
  <c r="F585" i="1" s="1"/>
  <c r="F586" i="1" s="1"/>
  <c r="F587" i="1" s="1"/>
  <c r="F588" i="1" s="1"/>
  <c r="F589" i="1" s="1"/>
  <c r="F590" i="1" s="1"/>
  <c r="F591" i="1" s="1"/>
  <c r="F592" i="1" s="1"/>
  <c r="F593" i="1" s="1"/>
  <c r="F594" i="1" s="1"/>
  <c r="F595" i="1" s="1"/>
  <c r="F596" i="1" s="1"/>
  <c r="F597" i="1" s="1"/>
  <c r="F598" i="1" s="1"/>
  <c r="F599" i="1" s="1"/>
  <c r="F600" i="1" s="1"/>
  <c r="F601" i="1" s="1"/>
  <c r="F602" i="1" s="1"/>
  <c r="F603" i="1" s="1"/>
  <c r="F604" i="1" s="1"/>
  <c r="F605" i="1" s="1"/>
  <c r="F606" i="1" s="1"/>
  <c r="F607" i="1" s="1"/>
  <c r="F608" i="1" s="1"/>
  <c r="F609" i="1" s="1"/>
  <c r="F610" i="1" s="1"/>
  <c r="F611" i="1" s="1"/>
  <c r="F612" i="1" s="1"/>
  <c r="F613" i="1" s="1"/>
  <c r="F614" i="1" s="1"/>
  <c r="F615" i="1" s="1"/>
  <c r="F616" i="1" s="1"/>
  <c r="F617" i="1" s="1"/>
  <c r="F618" i="1" s="1"/>
  <c r="F619" i="1" s="1"/>
  <c r="F620" i="1" s="1"/>
  <c r="F621" i="1" s="1"/>
  <c r="F622" i="1" s="1"/>
  <c r="F623" i="1" s="1"/>
  <c r="F624" i="1" s="1"/>
  <c r="F625" i="1" s="1"/>
  <c r="F626" i="1" s="1"/>
  <c r="F627" i="1" s="1"/>
  <c r="F628" i="1" s="1"/>
  <c r="F629" i="1" s="1"/>
  <c r="F630" i="1" s="1"/>
  <c r="F631" i="1" s="1"/>
  <c r="F632" i="1" s="1"/>
  <c r="F633" i="1" s="1"/>
  <c r="F634" i="1" s="1"/>
  <c r="F635" i="1" s="1"/>
  <c r="F636" i="1" s="1"/>
  <c r="F637" i="1" s="1"/>
  <c r="F638" i="1" s="1"/>
  <c r="F639" i="1" s="1"/>
  <c r="F640" i="1" s="1"/>
  <c r="F641" i="1" s="1"/>
  <c r="F642" i="1" s="1"/>
  <c r="F643" i="1" s="1"/>
  <c r="F644" i="1" s="1"/>
  <c r="F645" i="1" s="1"/>
  <c r="F646" i="1" s="1"/>
  <c r="F647" i="1" s="1"/>
  <c r="F648" i="1" s="1"/>
  <c r="F649" i="1" s="1"/>
  <c r="F650" i="1" s="1"/>
  <c r="F651" i="1" s="1"/>
  <c r="F652" i="1" s="1"/>
  <c r="F653" i="1" s="1"/>
  <c r="F654" i="1" s="1"/>
  <c r="F655" i="1" s="1"/>
  <c r="F656" i="1" s="1"/>
  <c r="F657" i="1" s="1"/>
  <c r="F658" i="1" s="1"/>
  <c r="F659" i="1" s="1"/>
  <c r="F660" i="1" s="1"/>
  <c r="F661" i="1" s="1"/>
  <c r="F662" i="1" s="1"/>
  <c r="F663" i="1" s="1"/>
  <c r="F664" i="1" s="1"/>
  <c r="F665" i="1" s="1"/>
  <c r="F666" i="1" s="1"/>
  <c r="F667" i="1" s="1"/>
  <c r="F668" i="1" s="1"/>
  <c r="F669" i="1" s="1"/>
  <c r="F670" i="1" s="1"/>
  <c r="F671" i="1" s="1"/>
  <c r="F672" i="1" s="1"/>
  <c r="F673" i="1" s="1"/>
  <c r="F674" i="1" s="1"/>
  <c r="F675" i="1" s="1"/>
  <c r="F676" i="1" s="1"/>
  <c r="F677" i="1" s="1"/>
  <c r="F678" i="1" s="1"/>
  <c r="F679" i="1" s="1"/>
  <c r="F680" i="1" s="1"/>
  <c r="F681" i="1" s="1"/>
  <c r="F682" i="1" s="1"/>
  <c r="F683" i="1" s="1"/>
  <c r="F684" i="1" s="1"/>
  <c r="F685" i="1" s="1"/>
  <c r="F686" i="1" s="1"/>
  <c r="F687" i="1" s="1"/>
  <c r="F688" i="1" s="1"/>
  <c r="F689" i="1" s="1"/>
  <c r="F690" i="1" s="1"/>
  <c r="F691" i="1" s="1"/>
  <c r="F692" i="1" s="1"/>
  <c r="F693" i="1" s="1"/>
  <c r="F694" i="1" s="1"/>
  <c r="F695" i="1" s="1"/>
  <c r="F696" i="1" s="1"/>
  <c r="F697" i="1" s="1"/>
  <c r="F698" i="1" s="1"/>
  <c r="F699" i="1" s="1"/>
  <c r="F700" i="1" s="1"/>
  <c r="F701" i="1" s="1"/>
  <c r="F702" i="1" s="1"/>
  <c r="F703" i="1" s="1"/>
  <c r="F704" i="1" s="1"/>
  <c r="F705" i="1" s="1"/>
  <c r="F706" i="1" s="1"/>
  <c r="F707" i="1" s="1"/>
  <c r="F708" i="1" s="1"/>
  <c r="F709" i="1" s="1"/>
  <c r="F710" i="1" s="1"/>
  <c r="F711" i="1" s="1"/>
  <c r="F712" i="1" s="1"/>
  <c r="F713" i="1" s="1"/>
  <c r="F714" i="1" s="1"/>
  <c r="F715" i="1" s="1"/>
  <c r="F716" i="1" s="1"/>
  <c r="F717" i="1" s="1"/>
  <c r="F718" i="1" s="1"/>
  <c r="F719" i="1" s="1"/>
  <c r="F720" i="1" s="1"/>
  <c r="F721" i="1" s="1"/>
  <c r="F722" i="1" s="1"/>
  <c r="F723" i="1" s="1"/>
  <c r="F724" i="1" s="1"/>
  <c r="F725" i="1" s="1"/>
  <c r="F726" i="1" s="1"/>
  <c r="F727" i="1" s="1"/>
  <c r="F728" i="1" s="1"/>
  <c r="F729" i="1" s="1"/>
  <c r="F730" i="1" s="1"/>
  <c r="F731" i="1" s="1"/>
  <c r="F732" i="1" s="1"/>
  <c r="F733" i="1" s="1"/>
  <c r="F734" i="1" s="1"/>
  <c r="F735" i="1" s="1"/>
  <c r="F736" i="1" s="1"/>
  <c r="F737" i="1" s="1"/>
  <c r="F738" i="1" s="1"/>
  <c r="F739" i="1" s="1"/>
  <c r="G579" i="1"/>
  <c r="G580" i="1" s="1"/>
  <c r="G581" i="1" s="1"/>
  <c r="G582" i="1" s="1"/>
  <c r="G583" i="1" s="1"/>
  <c r="G584" i="1" s="1"/>
  <c r="G585" i="1" s="1"/>
  <c r="G586" i="1" s="1"/>
  <c r="G587" i="1" s="1"/>
  <c r="G588" i="1" s="1"/>
  <c r="G589" i="1" s="1"/>
  <c r="G590" i="1" s="1"/>
  <c r="G591" i="1" s="1"/>
  <c r="G592" i="1" s="1"/>
  <c r="G593" i="1" s="1"/>
  <c r="G594" i="1" s="1"/>
  <c r="G595" i="1" s="1"/>
  <c r="G596" i="1" s="1"/>
  <c r="G597" i="1" s="1"/>
  <c r="G598" i="1" s="1"/>
  <c r="G599" i="1" s="1"/>
  <c r="G600" i="1" s="1"/>
  <c r="G601" i="1" s="1"/>
  <c r="G602" i="1" s="1"/>
  <c r="G603" i="1" s="1"/>
  <c r="G604" i="1" s="1"/>
  <c r="G605" i="1" s="1"/>
  <c r="G606" i="1" s="1"/>
  <c r="G607" i="1" s="1"/>
  <c r="G608" i="1" s="1"/>
  <c r="G609" i="1" s="1"/>
  <c r="G610" i="1" s="1"/>
  <c r="G611" i="1" s="1"/>
  <c r="G612" i="1" s="1"/>
  <c r="G613" i="1" s="1"/>
  <c r="G614" i="1" s="1"/>
  <c r="G615" i="1" s="1"/>
  <c r="G616" i="1" s="1"/>
  <c r="G617" i="1" s="1"/>
  <c r="G618" i="1" s="1"/>
  <c r="G619" i="1" s="1"/>
  <c r="G620" i="1" s="1"/>
  <c r="G621" i="1" s="1"/>
  <c r="G622" i="1" s="1"/>
  <c r="G623" i="1" s="1"/>
  <c r="G624" i="1" s="1"/>
  <c r="G625" i="1" s="1"/>
  <c r="G626" i="1" s="1"/>
  <c r="G627" i="1" s="1"/>
  <c r="G628" i="1" s="1"/>
  <c r="G629" i="1" s="1"/>
  <c r="G630" i="1" s="1"/>
  <c r="G631" i="1" s="1"/>
  <c r="G632" i="1" s="1"/>
  <c r="G633" i="1" s="1"/>
  <c r="G634" i="1" s="1"/>
  <c r="G635" i="1" s="1"/>
  <c r="G636" i="1" s="1"/>
  <c r="G637" i="1" s="1"/>
  <c r="G638" i="1" s="1"/>
  <c r="G639" i="1" s="1"/>
  <c r="G640" i="1" s="1"/>
  <c r="G641" i="1" s="1"/>
  <c r="G642" i="1" s="1"/>
  <c r="G643" i="1" s="1"/>
  <c r="G644" i="1" s="1"/>
  <c r="G645" i="1" s="1"/>
  <c r="G646" i="1" s="1"/>
  <c r="G647" i="1" s="1"/>
  <c r="G648" i="1" s="1"/>
  <c r="G649" i="1" s="1"/>
  <c r="G650" i="1" s="1"/>
  <c r="G651" i="1" s="1"/>
  <c r="G652" i="1" s="1"/>
  <c r="G653" i="1" s="1"/>
  <c r="G654" i="1" s="1"/>
  <c r="G655" i="1" s="1"/>
  <c r="G656" i="1" s="1"/>
  <c r="G657" i="1" s="1"/>
  <c r="G658" i="1" s="1"/>
  <c r="G659" i="1" s="1"/>
  <c r="G660" i="1" s="1"/>
  <c r="G661" i="1" s="1"/>
  <c r="G662" i="1" s="1"/>
  <c r="G663" i="1" s="1"/>
  <c r="G664" i="1" s="1"/>
  <c r="G665" i="1" s="1"/>
  <c r="G666" i="1" s="1"/>
  <c r="G667" i="1" s="1"/>
  <c r="G668" i="1" s="1"/>
  <c r="G669" i="1" s="1"/>
  <c r="G670" i="1" s="1"/>
  <c r="G671" i="1" s="1"/>
  <c r="G672" i="1" s="1"/>
  <c r="G673" i="1" s="1"/>
  <c r="G674" i="1" s="1"/>
  <c r="G675" i="1" s="1"/>
  <c r="G676" i="1" s="1"/>
  <c r="G677" i="1" s="1"/>
  <c r="G678" i="1" s="1"/>
  <c r="G679" i="1" s="1"/>
  <c r="G680" i="1" s="1"/>
  <c r="G681" i="1" s="1"/>
  <c r="G682" i="1" s="1"/>
  <c r="G683" i="1" s="1"/>
  <c r="G684" i="1" s="1"/>
  <c r="G685" i="1" s="1"/>
  <c r="G686" i="1" s="1"/>
  <c r="G687" i="1" s="1"/>
  <c r="G688" i="1" s="1"/>
  <c r="G689" i="1" s="1"/>
  <c r="G690" i="1" s="1"/>
  <c r="G691" i="1" s="1"/>
  <c r="G692" i="1" s="1"/>
  <c r="G693" i="1" s="1"/>
  <c r="G694" i="1" s="1"/>
  <c r="G695" i="1" s="1"/>
  <c r="G696" i="1" s="1"/>
  <c r="G697" i="1" s="1"/>
  <c r="G698" i="1" s="1"/>
  <c r="G699" i="1" s="1"/>
  <c r="G700" i="1" s="1"/>
  <c r="G701" i="1" s="1"/>
  <c r="G702" i="1" s="1"/>
  <c r="G703" i="1" s="1"/>
  <c r="G704" i="1" s="1"/>
  <c r="G705" i="1" s="1"/>
  <c r="G706" i="1" s="1"/>
  <c r="G707" i="1" s="1"/>
  <c r="G708" i="1" s="1"/>
  <c r="G709" i="1" s="1"/>
  <c r="G710" i="1" s="1"/>
  <c r="G711" i="1" s="1"/>
  <c r="G712" i="1" s="1"/>
  <c r="G713" i="1" s="1"/>
  <c r="G714" i="1" s="1"/>
  <c r="G715" i="1" s="1"/>
  <c r="G716" i="1" s="1"/>
  <c r="G717" i="1" s="1"/>
  <c r="G718" i="1" s="1"/>
  <c r="G719" i="1" s="1"/>
  <c r="G720" i="1" s="1"/>
  <c r="G721" i="1" s="1"/>
  <c r="G722" i="1" s="1"/>
  <c r="G723" i="1" s="1"/>
  <c r="G724" i="1" s="1"/>
  <c r="G725" i="1" s="1"/>
  <c r="G726" i="1" s="1"/>
  <c r="G727" i="1" s="1"/>
  <c r="G728" i="1" s="1"/>
  <c r="G729" i="1" s="1"/>
  <c r="G730" i="1" s="1"/>
  <c r="G731" i="1" s="1"/>
  <c r="G732" i="1" s="1"/>
  <c r="G733" i="1" s="1"/>
  <c r="G734" i="1" s="1"/>
  <c r="G735" i="1" s="1"/>
  <c r="G736" i="1" s="1"/>
  <c r="G737" i="1" s="1"/>
  <c r="G738" i="1" s="1"/>
  <c r="G739" i="1" s="1"/>
  <c r="F579" i="1"/>
  <c r="N453" i="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O452" i="1"/>
  <c r="O453" i="1" s="1"/>
  <c r="O454" i="1" s="1"/>
  <c r="O455" i="1" s="1"/>
  <c r="O456" i="1" s="1"/>
  <c r="O457" i="1" s="1"/>
  <c r="O458" i="1" s="1"/>
  <c r="O459" i="1" s="1"/>
  <c r="O460" i="1" s="1"/>
  <c r="O461" i="1" s="1"/>
  <c r="O462" i="1" s="1"/>
  <c r="O463" i="1" s="1"/>
  <c r="O464" i="1" s="1"/>
  <c r="O465" i="1" s="1"/>
  <c r="O466" i="1" s="1"/>
  <c r="O467" i="1" s="1"/>
  <c r="O468" i="1" s="1"/>
  <c r="O469" i="1" s="1"/>
  <c r="O470" i="1" s="1"/>
  <c r="O471" i="1" s="1"/>
  <c r="O472" i="1" s="1"/>
  <c r="O473" i="1" s="1"/>
  <c r="O474" i="1" s="1"/>
  <c r="O475" i="1" s="1"/>
  <c r="O476" i="1" s="1"/>
  <c r="O477" i="1" s="1"/>
  <c r="O478" i="1" s="1"/>
  <c r="O479" i="1" s="1"/>
  <c r="O480" i="1" s="1"/>
  <c r="O481" i="1" s="1"/>
  <c r="O482" i="1" s="1"/>
  <c r="O483" i="1" s="1"/>
  <c r="O484" i="1" s="1"/>
  <c r="O485" i="1" s="1"/>
  <c r="O486" i="1" s="1"/>
  <c r="O487" i="1" s="1"/>
  <c r="O488" i="1" s="1"/>
  <c r="O489" i="1" s="1"/>
  <c r="O490" i="1" s="1"/>
  <c r="O491" i="1" s="1"/>
  <c r="O492" i="1" s="1"/>
  <c r="O493" i="1" s="1"/>
  <c r="O494" i="1" s="1"/>
  <c r="O495" i="1" s="1"/>
  <c r="O496" i="1" s="1"/>
  <c r="O497" i="1" s="1"/>
  <c r="O498" i="1" s="1"/>
  <c r="O499" i="1" s="1"/>
  <c r="O500" i="1" s="1"/>
  <c r="O501" i="1" s="1"/>
  <c r="O502" i="1" s="1"/>
  <c r="O503" i="1" s="1"/>
  <c r="O504" i="1" s="1"/>
  <c r="O505" i="1" s="1"/>
  <c r="O506" i="1" s="1"/>
  <c r="O507" i="1" s="1"/>
  <c r="O508" i="1" s="1"/>
  <c r="O509" i="1" s="1"/>
  <c r="O510" i="1" s="1"/>
  <c r="O511" i="1" s="1"/>
  <c r="O512" i="1" s="1"/>
  <c r="O513" i="1" s="1"/>
  <c r="O514" i="1" s="1"/>
  <c r="O515" i="1" s="1"/>
  <c r="O516" i="1" s="1"/>
  <c r="O517" i="1" s="1"/>
  <c r="O518" i="1" s="1"/>
  <c r="O519" i="1" s="1"/>
  <c r="O520" i="1" s="1"/>
  <c r="O521" i="1" s="1"/>
  <c r="O522" i="1" s="1"/>
  <c r="O523" i="1" s="1"/>
  <c r="O524" i="1" s="1"/>
  <c r="O525" i="1" s="1"/>
  <c r="O526" i="1" s="1"/>
  <c r="O527" i="1" s="1"/>
  <c r="O528" i="1" s="1"/>
  <c r="O529" i="1" s="1"/>
  <c r="O530" i="1" s="1"/>
  <c r="O531" i="1" s="1"/>
  <c r="O532" i="1" s="1"/>
  <c r="O533" i="1" s="1"/>
  <c r="O534" i="1" s="1"/>
  <c r="O535" i="1" s="1"/>
  <c r="O536" i="1" s="1"/>
  <c r="O537" i="1" s="1"/>
  <c r="O538" i="1" s="1"/>
  <c r="O539" i="1" s="1"/>
  <c r="O540" i="1" s="1"/>
  <c r="O541" i="1" s="1"/>
  <c r="O542" i="1" s="1"/>
  <c r="O543" i="1" s="1"/>
  <c r="O544" i="1" s="1"/>
  <c r="O545" i="1" s="1"/>
  <c r="O546" i="1" s="1"/>
  <c r="O547" i="1" s="1"/>
  <c r="O548" i="1" s="1"/>
  <c r="O549" i="1" s="1"/>
  <c r="O550" i="1" s="1"/>
  <c r="O551" i="1" s="1"/>
  <c r="O552" i="1" s="1"/>
  <c r="O553" i="1" s="1"/>
  <c r="O554" i="1" s="1"/>
  <c r="O555" i="1" s="1"/>
  <c r="O556" i="1" s="1"/>
  <c r="O557" i="1" s="1"/>
  <c r="O558" i="1" s="1"/>
  <c r="O559" i="1" s="1"/>
  <c r="N452" i="1"/>
  <c r="J453" i="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K452" i="1"/>
  <c r="K453" i="1" s="1"/>
  <c r="K454" i="1" s="1"/>
  <c r="J452" i="1"/>
  <c r="F453" i="1"/>
  <c r="F454" i="1" s="1"/>
  <c r="F455" i="1" s="1"/>
  <c r="F456" i="1" s="1"/>
  <c r="F457" i="1" s="1"/>
  <c r="F458" i="1" s="1"/>
  <c r="F459" i="1" s="1"/>
  <c r="F460" i="1" s="1"/>
  <c r="F461" i="1" s="1"/>
  <c r="F462" i="1" s="1"/>
  <c r="F463" i="1" s="1"/>
  <c r="F464" i="1" s="1"/>
  <c r="F465" i="1" s="1"/>
  <c r="F466" i="1" s="1"/>
  <c r="F467" i="1" s="1"/>
  <c r="F468" i="1" s="1"/>
  <c r="F469" i="1" s="1"/>
  <c r="F470" i="1" s="1"/>
  <c r="F471" i="1" s="1"/>
  <c r="F472" i="1" s="1"/>
  <c r="F473" i="1" s="1"/>
  <c r="F474" i="1" s="1"/>
  <c r="F475" i="1" s="1"/>
  <c r="F476" i="1" s="1"/>
  <c r="F477" i="1" s="1"/>
  <c r="F478" i="1" s="1"/>
  <c r="F479" i="1" s="1"/>
  <c r="F480" i="1" s="1"/>
  <c r="F481" i="1" s="1"/>
  <c r="F482" i="1" s="1"/>
  <c r="F483" i="1" s="1"/>
  <c r="F484" i="1" s="1"/>
  <c r="F485" i="1" s="1"/>
  <c r="F486" i="1" s="1"/>
  <c r="F487" i="1" s="1"/>
  <c r="F488" i="1" s="1"/>
  <c r="F489" i="1" s="1"/>
  <c r="F490" i="1" s="1"/>
  <c r="F491" i="1" s="1"/>
  <c r="F492" i="1" s="1"/>
  <c r="F493" i="1" s="1"/>
  <c r="F494" i="1" s="1"/>
  <c r="F495" i="1" s="1"/>
  <c r="F496" i="1" s="1"/>
  <c r="F497" i="1" s="1"/>
  <c r="F498" i="1" s="1"/>
  <c r="F499" i="1" s="1"/>
  <c r="F500" i="1" s="1"/>
  <c r="F501" i="1" s="1"/>
  <c r="F502" i="1" s="1"/>
  <c r="F503" i="1" s="1"/>
  <c r="F504" i="1" s="1"/>
  <c r="F505" i="1" s="1"/>
  <c r="F506" i="1" s="1"/>
  <c r="F507" i="1" s="1"/>
  <c r="F508" i="1" s="1"/>
  <c r="F509" i="1" s="1"/>
  <c r="F510" i="1" s="1"/>
  <c r="F511" i="1" s="1"/>
  <c r="F512" i="1" s="1"/>
  <c r="F513" i="1" s="1"/>
  <c r="F514" i="1" s="1"/>
  <c r="F515" i="1" s="1"/>
  <c r="F516" i="1" s="1"/>
  <c r="F517" i="1" s="1"/>
  <c r="F518" i="1" s="1"/>
  <c r="F519" i="1" s="1"/>
  <c r="F520" i="1" s="1"/>
  <c r="F521" i="1" s="1"/>
  <c r="F522" i="1" s="1"/>
  <c r="F523" i="1" s="1"/>
  <c r="F524" i="1" s="1"/>
  <c r="F525" i="1" s="1"/>
  <c r="F526" i="1" s="1"/>
  <c r="F527" i="1" s="1"/>
  <c r="F528" i="1" s="1"/>
  <c r="F529" i="1" s="1"/>
  <c r="F530" i="1" s="1"/>
  <c r="F531" i="1" s="1"/>
  <c r="F532" i="1" s="1"/>
  <c r="F533" i="1" s="1"/>
  <c r="F534" i="1" s="1"/>
  <c r="F535" i="1" s="1"/>
  <c r="F536" i="1" s="1"/>
  <c r="F537" i="1" s="1"/>
  <c r="F538" i="1" s="1"/>
  <c r="F539" i="1" s="1"/>
  <c r="F540" i="1" s="1"/>
  <c r="F541" i="1" s="1"/>
  <c r="F542" i="1" s="1"/>
  <c r="F543" i="1" s="1"/>
  <c r="F544" i="1" s="1"/>
  <c r="F545" i="1" s="1"/>
  <c r="F546" i="1" s="1"/>
  <c r="F547" i="1" s="1"/>
  <c r="F548" i="1" s="1"/>
  <c r="F549" i="1" s="1"/>
  <c r="F550" i="1" s="1"/>
  <c r="F551" i="1" s="1"/>
  <c r="F552" i="1" s="1"/>
  <c r="F553" i="1" s="1"/>
  <c r="F554" i="1" s="1"/>
  <c r="F555" i="1" s="1"/>
  <c r="F556" i="1" s="1"/>
  <c r="F557" i="1" s="1"/>
  <c r="F558" i="1" s="1"/>
  <c r="F559" i="1" s="1"/>
  <c r="G452" i="1"/>
  <c r="G453" i="1" s="1"/>
  <c r="G454" i="1" s="1"/>
  <c r="G455" i="1" s="1"/>
  <c r="G456" i="1" s="1"/>
  <c r="G457" i="1" s="1"/>
  <c r="G458" i="1" s="1"/>
  <c r="G459" i="1" s="1"/>
  <c r="G460" i="1" s="1"/>
  <c r="G461" i="1" s="1"/>
  <c r="G462" i="1" s="1"/>
  <c r="G463" i="1" s="1"/>
  <c r="G464" i="1" s="1"/>
  <c r="G465" i="1" s="1"/>
  <c r="G466" i="1" s="1"/>
  <c r="G467" i="1" s="1"/>
  <c r="G468" i="1" s="1"/>
  <c r="G469" i="1" s="1"/>
  <c r="G470" i="1" s="1"/>
  <c r="G471" i="1" s="1"/>
  <c r="G472" i="1" s="1"/>
  <c r="G473" i="1" s="1"/>
  <c r="G474" i="1" s="1"/>
  <c r="G475" i="1" s="1"/>
  <c r="G476" i="1" s="1"/>
  <c r="G477" i="1" s="1"/>
  <c r="G478" i="1" s="1"/>
  <c r="G479" i="1" s="1"/>
  <c r="G480" i="1" s="1"/>
  <c r="G481" i="1" s="1"/>
  <c r="G482" i="1" s="1"/>
  <c r="G483" i="1" s="1"/>
  <c r="G484" i="1" s="1"/>
  <c r="G485" i="1" s="1"/>
  <c r="G486" i="1" s="1"/>
  <c r="G487" i="1" s="1"/>
  <c r="G488" i="1" s="1"/>
  <c r="G489" i="1" s="1"/>
  <c r="G490" i="1" s="1"/>
  <c r="G491" i="1" s="1"/>
  <c r="G492" i="1" s="1"/>
  <c r="G493" i="1" s="1"/>
  <c r="G494" i="1" s="1"/>
  <c r="G495" i="1" s="1"/>
  <c r="G496" i="1" s="1"/>
  <c r="G497" i="1" s="1"/>
  <c r="G498" i="1" s="1"/>
  <c r="G499" i="1" s="1"/>
  <c r="G500" i="1" s="1"/>
  <c r="G501" i="1" s="1"/>
  <c r="G502" i="1" s="1"/>
  <c r="G503" i="1" s="1"/>
  <c r="G504" i="1" s="1"/>
  <c r="G505" i="1" s="1"/>
  <c r="G506" i="1" s="1"/>
  <c r="G507" i="1" s="1"/>
  <c r="G508" i="1" s="1"/>
  <c r="G509" i="1" s="1"/>
  <c r="G510" i="1" s="1"/>
  <c r="G511" i="1" s="1"/>
  <c r="G512" i="1" s="1"/>
  <c r="G513" i="1" s="1"/>
  <c r="G514" i="1" s="1"/>
  <c r="G515" i="1" s="1"/>
  <c r="G516" i="1" s="1"/>
  <c r="G517" i="1" s="1"/>
  <c r="G518" i="1" s="1"/>
  <c r="G519" i="1" s="1"/>
  <c r="G520" i="1" s="1"/>
  <c r="G521" i="1" s="1"/>
  <c r="G522" i="1" s="1"/>
  <c r="G523" i="1" s="1"/>
  <c r="G524" i="1" s="1"/>
  <c r="G525" i="1" s="1"/>
  <c r="G526" i="1" s="1"/>
  <c r="G527" i="1" s="1"/>
  <c r="G528" i="1" s="1"/>
  <c r="G529" i="1" s="1"/>
  <c r="G530" i="1" s="1"/>
  <c r="G531" i="1" s="1"/>
  <c r="G532" i="1" s="1"/>
  <c r="G533" i="1" s="1"/>
  <c r="G534" i="1" s="1"/>
  <c r="G535" i="1" s="1"/>
  <c r="G536" i="1" s="1"/>
  <c r="G537" i="1" s="1"/>
  <c r="G538" i="1" s="1"/>
  <c r="G539" i="1" s="1"/>
  <c r="G540" i="1" s="1"/>
  <c r="G541" i="1" s="1"/>
  <c r="G542" i="1" s="1"/>
  <c r="G543" i="1" s="1"/>
  <c r="G544" i="1" s="1"/>
  <c r="G545" i="1" s="1"/>
  <c r="G546" i="1" s="1"/>
  <c r="G547" i="1" s="1"/>
  <c r="G548" i="1" s="1"/>
  <c r="G549" i="1" s="1"/>
  <c r="G550" i="1" s="1"/>
  <c r="G551" i="1" s="1"/>
  <c r="G552" i="1" s="1"/>
  <c r="G553" i="1" s="1"/>
  <c r="G554" i="1" s="1"/>
  <c r="G555" i="1" s="1"/>
  <c r="G556" i="1" s="1"/>
  <c r="G557" i="1" s="1"/>
  <c r="G558" i="1" s="1"/>
  <c r="G559" i="1" s="1"/>
  <c r="F452" i="1"/>
  <c r="R319" i="1"/>
  <c r="R320" i="1" s="1"/>
  <c r="R321" i="1" s="1"/>
  <c r="R322" i="1" s="1"/>
  <c r="R323" i="1" s="1"/>
  <c r="R324" i="1" s="1"/>
  <c r="R325" i="1" s="1"/>
  <c r="R326" i="1" s="1"/>
  <c r="R327" i="1" s="1"/>
  <c r="R328" i="1" s="1"/>
  <c r="R329" i="1" s="1"/>
  <c r="R330" i="1" s="1"/>
  <c r="R331" i="1" s="1"/>
  <c r="R332" i="1" s="1"/>
  <c r="R333" i="1" s="1"/>
  <c r="R334" i="1" s="1"/>
  <c r="R335" i="1" s="1"/>
  <c r="R336" i="1" s="1"/>
  <c r="R337" i="1" s="1"/>
  <c r="R338" i="1" s="1"/>
  <c r="R339" i="1" s="1"/>
  <c r="R340" i="1" s="1"/>
  <c r="R341" i="1" s="1"/>
  <c r="R342" i="1" s="1"/>
  <c r="R343" i="1" s="1"/>
  <c r="R344" i="1" s="1"/>
  <c r="R345" i="1" s="1"/>
  <c r="R346" i="1" s="1"/>
  <c r="R347" i="1" s="1"/>
  <c r="R348" i="1" s="1"/>
  <c r="R349" i="1" s="1"/>
  <c r="R350" i="1" s="1"/>
  <c r="R351" i="1" s="1"/>
  <c r="R352" i="1" s="1"/>
  <c r="R353" i="1" s="1"/>
  <c r="R354" i="1" s="1"/>
  <c r="R355" i="1" s="1"/>
  <c r="R356" i="1" s="1"/>
  <c r="R357" i="1" s="1"/>
  <c r="R358" i="1" s="1"/>
  <c r="R359" i="1" s="1"/>
  <c r="R360" i="1" s="1"/>
  <c r="R361" i="1" s="1"/>
  <c r="R362" i="1" s="1"/>
  <c r="R363" i="1" s="1"/>
  <c r="R364" i="1" s="1"/>
  <c r="R365" i="1" s="1"/>
  <c r="R366" i="1" s="1"/>
  <c r="R367" i="1" s="1"/>
  <c r="R368" i="1" s="1"/>
  <c r="R369" i="1" s="1"/>
  <c r="R370" i="1" s="1"/>
  <c r="R371" i="1" s="1"/>
  <c r="R372" i="1" s="1"/>
  <c r="R373" i="1" s="1"/>
  <c r="R374" i="1" s="1"/>
  <c r="R375" i="1" s="1"/>
  <c r="R376" i="1" s="1"/>
  <c r="R377" i="1" s="1"/>
  <c r="R378" i="1" s="1"/>
  <c r="R379" i="1" s="1"/>
  <c r="R380" i="1" s="1"/>
  <c r="R381" i="1" s="1"/>
  <c r="R382" i="1" s="1"/>
  <c r="R383" i="1" s="1"/>
  <c r="R384" i="1" s="1"/>
  <c r="R385" i="1" s="1"/>
  <c r="R386" i="1" s="1"/>
  <c r="R387" i="1" s="1"/>
  <c r="R388" i="1" s="1"/>
  <c r="R389" i="1" s="1"/>
  <c r="R390" i="1" s="1"/>
  <c r="R391" i="1" s="1"/>
  <c r="R392" i="1" s="1"/>
  <c r="R393" i="1" s="1"/>
  <c r="R394" i="1" s="1"/>
  <c r="R395" i="1" s="1"/>
  <c r="R396" i="1" s="1"/>
  <c r="R397" i="1" s="1"/>
  <c r="R398" i="1" s="1"/>
  <c r="R399" i="1" s="1"/>
  <c r="R400" i="1" s="1"/>
  <c r="R401" i="1" s="1"/>
  <c r="R402" i="1" s="1"/>
  <c r="R403" i="1" s="1"/>
  <c r="R404" i="1" s="1"/>
  <c r="R405" i="1" s="1"/>
  <c r="R406" i="1" s="1"/>
  <c r="R407" i="1" s="1"/>
  <c r="R408" i="1" s="1"/>
  <c r="R409" i="1" s="1"/>
  <c r="R410" i="1" s="1"/>
  <c r="R411" i="1" s="1"/>
  <c r="R412" i="1" s="1"/>
  <c r="R413" i="1" s="1"/>
  <c r="R414" i="1" s="1"/>
  <c r="R415" i="1" s="1"/>
  <c r="R416" i="1" s="1"/>
  <c r="R417" i="1" s="1"/>
  <c r="R418" i="1" s="1"/>
  <c r="R419" i="1" s="1"/>
  <c r="R420" i="1" s="1"/>
  <c r="R421" i="1" s="1"/>
  <c r="R422" i="1" s="1"/>
  <c r="R423" i="1" s="1"/>
  <c r="R424" i="1" s="1"/>
  <c r="R425" i="1" s="1"/>
  <c r="R426" i="1" s="1"/>
  <c r="R427" i="1" s="1"/>
  <c r="R428" i="1" s="1"/>
  <c r="R429" i="1" s="1"/>
  <c r="R430" i="1" s="1"/>
  <c r="R431" i="1" s="1"/>
  <c r="R432" i="1" s="1"/>
  <c r="R433" i="1" s="1"/>
  <c r="R434" i="1" s="1"/>
  <c r="R435" i="1" s="1"/>
  <c r="R436" i="1" s="1"/>
  <c r="R437" i="1" s="1"/>
  <c r="R438" i="1" s="1"/>
  <c r="R439" i="1" s="1"/>
  <c r="R440" i="1" s="1"/>
  <c r="R441" i="1" s="1"/>
  <c r="R442" i="1" s="1"/>
  <c r="R443" i="1" s="1"/>
  <c r="R444" i="1" s="1"/>
  <c r="R445" i="1" s="1"/>
  <c r="R446" i="1" s="1"/>
  <c r="S318" i="1"/>
  <c r="S319" i="1" s="1"/>
  <c r="S320" i="1" s="1"/>
  <c r="S321" i="1" s="1"/>
  <c r="S322" i="1" s="1"/>
  <c r="S323" i="1" s="1"/>
  <c r="S324" i="1" s="1"/>
  <c r="S325" i="1" s="1"/>
  <c r="S326" i="1" s="1"/>
  <c r="S327" i="1" s="1"/>
  <c r="S328" i="1" s="1"/>
  <c r="S329" i="1" s="1"/>
  <c r="S330" i="1" s="1"/>
  <c r="S331" i="1" s="1"/>
  <c r="S332" i="1" s="1"/>
  <c r="S333" i="1" s="1"/>
  <c r="S334" i="1" s="1"/>
  <c r="S335" i="1" s="1"/>
  <c r="S336" i="1" s="1"/>
  <c r="S337" i="1" s="1"/>
  <c r="S338" i="1" s="1"/>
  <c r="S339" i="1" s="1"/>
  <c r="S340" i="1" s="1"/>
  <c r="S341" i="1" s="1"/>
  <c r="S342" i="1" s="1"/>
  <c r="S343" i="1" s="1"/>
  <c r="S344" i="1" s="1"/>
  <c r="S345" i="1" s="1"/>
  <c r="S346" i="1" s="1"/>
  <c r="S347" i="1" s="1"/>
  <c r="S348" i="1" s="1"/>
  <c r="S349" i="1" s="1"/>
  <c r="S350" i="1" s="1"/>
  <c r="S351" i="1" s="1"/>
  <c r="S352" i="1" s="1"/>
  <c r="S353" i="1" s="1"/>
  <c r="S354" i="1" s="1"/>
  <c r="S355" i="1" s="1"/>
  <c r="S356" i="1" s="1"/>
  <c r="S357" i="1" s="1"/>
  <c r="S358" i="1" s="1"/>
  <c r="S359" i="1" s="1"/>
  <c r="S360" i="1" s="1"/>
  <c r="S361" i="1" s="1"/>
  <c r="S362" i="1" s="1"/>
  <c r="S363" i="1" s="1"/>
  <c r="S364" i="1" s="1"/>
  <c r="S365" i="1" s="1"/>
  <c r="S366" i="1" s="1"/>
  <c r="S367" i="1" s="1"/>
  <c r="S368" i="1" s="1"/>
  <c r="S369" i="1" s="1"/>
  <c r="S370" i="1" s="1"/>
  <c r="S371" i="1" s="1"/>
  <c r="S372" i="1" s="1"/>
  <c r="S373" i="1" s="1"/>
  <c r="S374" i="1" s="1"/>
  <c r="S375" i="1" s="1"/>
  <c r="S376" i="1" s="1"/>
  <c r="S377" i="1" s="1"/>
  <c r="S378" i="1" s="1"/>
  <c r="S379" i="1" s="1"/>
  <c r="S380" i="1" s="1"/>
  <c r="S381" i="1" s="1"/>
  <c r="S382" i="1" s="1"/>
  <c r="S383" i="1" s="1"/>
  <c r="S384" i="1" s="1"/>
  <c r="S385" i="1" s="1"/>
  <c r="S386" i="1" s="1"/>
  <c r="S387" i="1" s="1"/>
  <c r="S388" i="1" s="1"/>
  <c r="S389" i="1" s="1"/>
  <c r="S390" i="1" s="1"/>
  <c r="S391" i="1" s="1"/>
  <c r="S392" i="1" s="1"/>
  <c r="S393" i="1" s="1"/>
  <c r="S394" i="1" s="1"/>
  <c r="S395" i="1" s="1"/>
  <c r="S396" i="1" s="1"/>
  <c r="S397" i="1" s="1"/>
  <c r="S398" i="1" s="1"/>
  <c r="S399" i="1" s="1"/>
  <c r="S400" i="1" s="1"/>
  <c r="S401" i="1" s="1"/>
  <c r="S402" i="1" s="1"/>
  <c r="S403" i="1" s="1"/>
  <c r="S404" i="1" s="1"/>
  <c r="S405" i="1" s="1"/>
  <c r="S406" i="1" s="1"/>
  <c r="S407" i="1" s="1"/>
  <c r="S408" i="1" s="1"/>
  <c r="S409" i="1" s="1"/>
  <c r="S410" i="1" s="1"/>
  <c r="S411" i="1" s="1"/>
  <c r="S412" i="1" s="1"/>
  <c r="S413" i="1" s="1"/>
  <c r="S414" i="1" s="1"/>
  <c r="S415" i="1" s="1"/>
  <c r="S416" i="1" s="1"/>
  <c r="S417" i="1" s="1"/>
  <c r="S418" i="1" s="1"/>
  <c r="S419" i="1" s="1"/>
  <c r="S420" i="1" s="1"/>
  <c r="S421" i="1" s="1"/>
  <c r="S422" i="1" s="1"/>
  <c r="S423" i="1" s="1"/>
  <c r="S424" i="1" s="1"/>
  <c r="S425" i="1" s="1"/>
  <c r="S426" i="1" s="1"/>
  <c r="S427" i="1" s="1"/>
  <c r="S428" i="1" s="1"/>
  <c r="S429" i="1" s="1"/>
  <c r="S430" i="1" s="1"/>
  <c r="S431" i="1" s="1"/>
  <c r="S432" i="1" s="1"/>
  <c r="S433" i="1" s="1"/>
  <c r="S434" i="1" s="1"/>
  <c r="S435" i="1" s="1"/>
  <c r="S436" i="1" s="1"/>
  <c r="S437" i="1" s="1"/>
  <c r="S438" i="1" s="1"/>
  <c r="S439" i="1" s="1"/>
  <c r="S440" i="1" s="1"/>
  <c r="S441" i="1" s="1"/>
  <c r="S442" i="1" s="1"/>
  <c r="S443" i="1" s="1"/>
  <c r="S444" i="1" s="1"/>
  <c r="S445" i="1" s="1"/>
  <c r="S446" i="1" s="1"/>
  <c r="R318" i="1"/>
  <c r="J319" i="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K318" i="1"/>
  <c r="K319" i="1" s="1"/>
  <c r="K320" i="1" s="1"/>
  <c r="K321" i="1" s="1"/>
  <c r="K322" i="1" s="1"/>
  <c r="K323" i="1" s="1"/>
  <c r="K324" i="1" s="1"/>
  <c r="K325" i="1" s="1"/>
  <c r="K326" i="1" s="1"/>
  <c r="K327" i="1" s="1"/>
  <c r="K328" i="1" s="1"/>
  <c r="K329" i="1" s="1"/>
  <c r="J318" i="1"/>
  <c r="F319" i="1"/>
  <c r="F320" i="1" s="1"/>
  <c r="F321" i="1" s="1"/>
  <c r="F322" i="1" s="1"/>
  <c r="F323" i="1" s="1"/>
  <c r="F324" i="1" s="1"/>
  <c r="F325" i="1" s="1"/>
  <c r="F326" i="1" s="1"/>
  <c r="F327" i="1" s="1"/>
  <c r="F328" i="1" s="1"/>
  <c r="F329" i="1" s="1"/>
  <c r="F330" i="1" s="1"/>
  <c r="F331" i="1" s="1"/>
  <c r="F332" i="1" s="1"/>
  <c r="F333" i="1" s="1"/>
  <c r="F334" i="1" s="1"/>
  <c r="F335" i="1" s="1"/>
  <c r="F336" i="1" s="1"/>
  <c r="F337" i="1" s="1"/>
  <c r="F338" i="1" s="1"/>
  <c r="F339" i="1" s="1"/>
  <c r="F340" i="1" s="1"/>
  <c r="F341" i="1" s="1"/>
  <c r="F342" i="1" s="1"/>
  <c r="F343" i="1" s="1"/>
  <c r="F344" i="1" s="1"/>
  <c r="F345" i="1" s="1"/>
  <c r="F346" i="1" s="1"/>
  <c r="F347" i="1" s="1"/>
  <c r="F348" i="1" s="1"/>
  <c r="F349" i="1" s="1"/>
  <c r="F350" i="1" s="1"/>
  <c r="F351" i="1" s="1"/>
  <c r="F352" i="1" s="1"/>
  <c r="F353" i="1" s="1"/>
  <c r="F354" i="1" s="1"/>
  <c r="F355" i="1" s="1"/>
  <c r="F356" i="1" s="1"/>
  <c r="F357" i="1" s="1"/>
  <c r="F358" i="1" s="1"/>
  <c r="F359" i="1" s="1"/>
  <c r="F360" i="1" s="1"/>
  <c r="F361" i="1" s="1"/>
  <c r="F362" i="1" s="1"/>
  <c r="F363" i="1" s="1"/>
  <c r="F364" i="1" s="1"/>
  <c r="F365" i="1" s="1"/>
  <c r="F366" i="1" s="1"/>
  <c r="F367" i="1" s="1"/>
  <c r="F368" i="1" s="1"/>
  <c r="F369" i="1" s="1"/>
  <c r="F370" i="1" s="1"/>
  <c r="F371" i="1" s="1"/>
  <c r="F372" i="1" s="1"/>
  <c r="F373" i="1" s="1"/>
  <c r="F374" i="1" s="1"/>
  <c r="F375" i="1" s="1"/>
  <c r="F376" i="1" s="1"/>
  <c r="F377" i="1" s="1"/>
  <c r="F378" i="1" s="1"/>
  <c r="F379" i="1" s="1"/>
  <c r="F380" i="1" s="1"/>
  <c r="F381" i="1" s="1"/>
  <c r="F382" i="1" s="1"/>
  <c r="F383" i="1" s="1"/>
  <c r="F384" i="1" s="1"/>
  <c r="F385" i="1" s="1"/>
  <c r="F386" i="1" s="1"/>
  <c r="F387" i="1" s="1"/>
  <c r="F388" i="1" s="1"/>
  <c r="F389" i="1" s="1"/>
  <c r="F390" i="1" s="1"/>
  <c r="F391" i="1" s="1"/>
  <c r="F392" i="1" s="1"/>
  <c r="F393" i="1" s="1"/>
  <c r="F394" i="1" s="1"/>
  <c r="F395" i="1" s="1"/>
  <c r="F396" i="1" s="1"/>
  <c r="F397" i="1" s="1"/>
  <c r="F398" i="1" s="1"/>
  <c r="F399" i="1" s="1"/>
  <c r="F400" i="1" s="1"/>
  <c r="F401" i="1" s="1"/>
  <c r="F402" i="1" s="1"/>
  <c r="F403" i="1" s="1"/>
  <c r="F404" i="1" s="1"/>
  <c r="F405" i="1" s="1"/>
  <c r="F406" i="1" s="1"/>
  <c r="F407" i="1" s="1"/>
  <c r="F408" i="1" s="1"/>
  <c r="F409" i="1" s="1"/>
  <c r="F410" i="1" s="1"/>
  <c r="F411" i="1" s="1"/>
  <c r="F412" i="1" s="1"/>
  <c r="F413" i="1" s="1"/>
  <c r="F414" i="1" s="1"/>
  <c r="F415" i="1" s="1"/>
  <c r="F416" i="1" s="1"/>
  <c r="F417" i="1" s="1"/>
  <c r="F418" i="1" s="1"/>
  <c r="F419" i="1" s="1"/>
  <c r="F420" i="1" s="1"/>
  <c r="F421" i="1" s="1"/>
  <c r="F422" i="1" s="1"/>
  <c r="F423" i="1" s="1"/>
  <c r="F424" i="1" s="1"/>
  <c r="F425" i="1" s="1"/>
  <c r="F426" i="1" s="1"/>
  <c r="F427" i="1" s="1"/>
  <c r="F428" i="1" s="1"/>
  <c r="F429" i="1" s="1"/>
  <c r="F430" i="1" s="1"/>
  <c r="F431" i="1" s="1"/>
  <c r="F432" i="1" s="1"/>
  <c r="F433" i="1" s="1"/>
  <c r="F434" i="1" s="1"/>
  <c r="F435" i="1" s="1"/>
  <c r="F436" i="1" s="1"/>
  <c r="F437" i="1" s="1"/>
  <c r="F438" i="1" s="1"/>
  <c r="F439" i="1" s="1"/>
  <c r="F440" i="1" s="1"/>
  <c r="F441" i="1" s="1"/>
  <c r="F442" i="1" s="1"/>
  <c r="F443" i="1" s="1"/>
  <c r="F444" i="1" s="1"/>
  <c r="F445" i="1" s="1"/>
  <c r="F446" i="1" s="1"/>
  <c r="G318" i="1"/>
  <c r="G319" i="1" s="1"/>
  <c r="G320" i="1" s="1"/>
  <c r="G321" i="1" s="1"/>
  <c r="G322" i="1" s="1"/>
  <c r="G323" i="1" s="1"/>
  <c r="G324" i="1" s="1"/>
  <c r="G325" i="1" s="1"/>
  <c r="G326" i="1" s="1"/>
  <c r="G327" i="1" s="1"/>
  <c r="G328" i="1" s="1"/>
  <c r="G329" i="1" s="1"/>
  <c r="G330" i="1" s="1"/>
  <c r="G331" i="1" s="1"/>
  <c r="G332" i="1" s="1"/>
  <c r="G333" i="1" s="1"/>
  <c r="G334" i="1" s="1"/>
  <c r="G335" i="1" s="1"/>
  <c r="G336" i="1" s="1"/>
  <c r="G337" i="1" s="1"/>
  <c r="G338" i="1" s="1"/>
  <c r="G339" i="1" s="1"/>
  <c r="G340" i="1" s="1"/>
  <c r="G341" i="1" s="1"/>
  <c r="G342" i="1" s="1"/>
  <c r="G343" i="1" s="1"/>
  <c r="G344" i="1" s="1"/>
  <c r="G345" i="1" s="1"/>
  <c r="G346" i="1" s="1"/>
  <c r="G347" i="1" s="1"/>
  <c r="G348" i="1" s="1"/>
  <c r="G349" i="1" s="1"/>
  <c r="G350" i="1" s="1"/>
  <c r="G351" i="1" s="1"/>
  <c r="G352" i="1" s="1"/>
  <c r="G353" i="1" s="1"/>
  <c r="G354" i="1" s="1"/>
  <c r="G355" i="1" s="1"/>
  <c r="G356" i="1" s="1"/>
  <c r="G357" i="1" s="1"/>
  <c r="G358" i="1" s="1"/>
  <c r="G359" i="1" s="1"/>
  <c r="G360" i="1" s="1"/>
  <c r="G361" i="1" s="1"/>
  <c r="G362" i="1" s="1"/>
  <c r="G363" i="1" s="1"/>
  <c r="G364" i="1" s="1"/>
  <c r="G365" i="1" s="1"/>
  <c r="G366" i="1" s="1"/>
  <c r="G367" i="1" s="1"/>
  <c r="G368" i="1" s="1"/>
  <c r="G369" i="1" s="1"/>
  <c r="G370" i="1" s="1"/>
  <c r="G371" i="1" s="1"/>
  <c r="G372" i="1" s="1"/>
  <c r="G373" i="1" s="1"/>
  <c r="G374" i="1" s="1"/>
  <c r="G375" i="1" s="1"/>
  <c r="G376" i="1" s="1"/>
  <c r="G377" i="1" s="1"/>
  <c r="G378" i="1" s="1"/>
  <c r="G379" i="1" s="1"/>
  <c r="G380" i="1" s="1"/>
  <c r="G381" i="1" s="1"/>
  <c r="G382" i="1" s="1"/>
  <c r="G383" i="1" s="1"/>
  <c r="G384" i="1" s="1"/>
  <c r="G385" i="1" s="1"/>
  <c r="G386" i="1" s="1"/>
  <c r="G387" i="1" s="1"/>
  <c r="G388" i="1" s="1"/>
  <c r="G389" i="1" s="1"/>
  <c r="G390" i="1" s="1"/>
  <c r="G391" i="1" s="1"/>
  <c r="G392" i="1" s="1"/>
  <c r="G393" i="1" s="1"/>
  <c r="G394" i="1" s="1"/>
  <c r="G395" i="1" s="1"/>
  <c r="G396" i="1" s="1"/>
  <c r="G397" i="1" s="1"/>
  <c r="G398" i="1" s="1"/>
  <c r="G399" i="1" s="1"/>
  <c r="G400" i="1" s="1"/>
  <c r="G401" i="1" s="1"/>
  <c r="G402" i="1" s="1"/>
  <c r="G403" i="1" s="1"/>
  <c r="G404" i="1" s="1"/>
  <c r="G405" i="1" s="1"/>
  <c r="G406" i="1" s="1"/>
  <c r="G407" i="1" s="1"/>
  <c r="G408" i="1" s="1"/>
  <c r="G409" i="1" s="1"/>
  <c r="G410" i="1" s="1"/>
  <c r="G411" i="1" s="1"/>
  <c r="G412" i="1" s="1"/>
  <c r="G413" i="1" s="1"/>
  <c r="G414" i="1" s="1"/>
  <c r="G415" i="1" s="1"/>
  <c r="G416" i="1" s="1"/>
  <c r="G417" i="1" s="1"/>
  <c r="G418" i="1" s="1"/>
  <c r="G419" i="1" s="1"/>
  <c r="G420" i="1" s="1"/>
  <c r="G421" i="1" s="1"/>
  <c r="G422" i="1" s="1"/>
  <c r="G423" i="1" s="1"/>
  <c r="G424" i="1" s="1"/>
  <c r="G425" i="1" s="1"/>
  <c r="G426" i="1" s="1"/>
  <c r="G427" i="1" s="1"/>
  <c r="G428" i="1" s="1"/>
  <c r="G429" i="1" s="1"/>
  <c r="G430" i="1" s="1"/>
  <c r="G431" i="1" s="1"/>
  <c r="G432" i="1" s="1"/>
  <c r="G433" i="1" s="1"/>
  <c r="G434" i="1" s="1"/>
  <c r="G435" i="1" s="1"/>
  <c r="G436" i="1" s="1"/>
  <c r="G437" i="1" s="1"/>
  <c r="G438" i="1" s="1"/>
  <c r="G439" i="1" s="1"/>
  <c r="G440" i="1" s="1"/>
  <c r="G441" i="1" s="1"/>
  <c r="G442" i="1" s="1"/>
  <c r="G443" i="1" s="1"/>
  <c r="G444" i="1" s="1"/>
  <c r="G445" i="1" s="1"/>
  <c r="G446" i="1" s="1"/>
  <c r="F318" i="1"/>
  <c r="R173" i="1"/>
  <c r="R174" i="1" s="1"/>
  <c r="R175" i="1" s="1"/>
  <c r="R176" i="1" s="1"/>
  <c r="R177" i="1" s="1"/>
  <c r="R178" i="1" s="1"/>
  <c r="R179" i="1" s="1"/>
  <c r="R180" i="1" s="1"/>
  <c r="R181" i="1" s="1"/>
  <c r="R182" i="1" s="1"/>
  <c r="R183" i="1" s="1"/>
  <c r="R184" i="1" s="1"/>
  <c r="R185" i="1" s="1"/>
  <c r="R186" i="1" s="1"/>
  <c r="R187" i="1" s="1"/>
  <c r="R188" i="1" s="1"/>
  <c r="R189" i="1" s="1"/>
  <c r="R190" i="1" s="1"/>
  <c r="R191" i="1" s="1"/>
  <c r="R192" i="1" s="1"/>
  <c r="R193" i="1" s="1"/>
  <c r="R194" i="1" s="1"/>
  <c r="R195" i="1" s="1"/>
  <c r="R196" i="1" s="1"/>
  <c r="R197" i="1" s="1"/>
  <c r="R198" i="1" s="1"/>
  <c r="R199" i="1" s="1"/>
  <c r="R200" i="1" s="1"/>
  <c r="R201" i="1" s="1"/>
  <c r="R202" i="1" s="1"/>
  <c r="R203" i="1" s="1"/>
  <c r="R204" i="1" s="1"/>
  <c r="R205" i="1" s="1"/>
  <c r="R206" i="1" s="1"/>
  <c r="R207" i="1" s="1"/>
  <c r="R208" i="1" s="1"/>
  <c r="R209" i="1" s="1"/>
  <c r="R210" i="1" s="1"/>
  <c r="R211" i="1" s="1"/>
  <c r="R212" i="1" s="1"/>
  <c r="R213" i="1" s="1"/>
  <c r="R214" i="1" s="1"/>
  <c r="R215" i="1" s="1"/>
  <c r="R216" i="1" s="1"/>
  <c r="R217" i="1" s="1"/>
  <c r="R218" i="1" s="1"/>
  <c r="R219" i="1" s="1"/>
  <c r="R220" i="1" s="1"/>
  <c r="R221" i="1" s="1"/>
  <c r="R222" i="1" s="1"/>
  <c r="R223" i="1" s="1"/>
  <c r="R224" i="1" s="1"/>
  <c r="R225" i="1" s="1"/>
  <c r="R226" i="1" s="1"/>
  <c r="R227" i="1" s="1"/>
  <c r="R228" i="1" s="1"/>
  <c r="R229" i="1" s="1"/>
  <c r="R230" i="1" s="1"/>
  <c r="R231" i="1" s="1"/>
  <c r="R232" i="1" s="1"/>
  <c r="R233" i="1" s="1"/>
  <c r="R234" i="1" s="1"/>
  <c r="R235" i="1" s="1"/>
  <c r="R236" i="1" s="1"/>
  <c r="R237" i="1" s="1"/>
  <c r="R238" i="1" s="1"/>
  <c r="R239" i="1" s="1"/>
  <c r="R240" i="1" s="1"/>
  <c r="R241" i="1" s="1"/>
  <c r="R242" i="1" s="1"/>
  <c r="R243" i="1" s="1"/>
  <c r="R244" i="1" s="1"/>
  <c r="R245" i="1" s="1"/>
  <c r="R246" i="1" s="1"/>
  <c r="R247" i="1" s="1"/>
  <c r="R248" i="1" s="1"/>
  <c r="R249" i="1" s="1"/>
  <c r="R250" i="1" s="1"/>
  <c r="R251" i="1" s="1"/>
  <c r="R252" i="1" s="1"/>
  <c r="R253" i="1" s="1"/>
  <c r="R254" i="1" s="1"/>
  <c r="R255" i="1" s="1"/>
  <c r="R256" i="1" s="1"/>
  <c r="R257" i="1" s="1"/>
  <c r="R258" i="1" s="1"/>
  <c r="R259" i="1" s="1"/>
  <c r="R260" i="1" s="1"/>
  <c r="R261" i="1" s="1"/>
  <c r="R262" i="1" s="1"/>
  <c r="R263" i="1" s="1"/>
  <c r="R264" i="1" s="1"/>
  <c r="R265" i="1" s="1"/>
  <c r="R266" i="1" s="1"/>
  <c r="R267" i="1" s="1"/>
  <c r="R268" i="1" s="1"/>
  <c r="R269" i="1" s="1"/>
  <c r="R270" i="1" s="1"/>
  <c r="R271" i="1" s="1"/>
  <c r="R272" i="1" s="1"/>
  <c r="R273" i="1" s="1"/>
  <c r="R274" i="1" s="1"/>
  <c r="R275" i="1" s="1"/>
  <c r="R276" i="1" s="1"/>
  <c r="R277" i="1" s="1"/>
  <c r="R278" i="1" s="1"/>
  <c r="R279" i="1" s="1"/>
  <c r="R280" i="1" s="1"/>
  <c r="R281" i="1" s="1"/>
  <c r="R282" i="1" s="1"/>
  <c r="R283" i="1" s="1"/>
  <c r="R284" i="1" s="1"/>
  <c r="R285" i="1" s="1"/>
  <c r="R286" i="1" s="1"/>
  <c r="R287" i="1" s="1"/>
  <c r="R288" i="1" s="1"/>
  <c r="R289" i="1" s="1"/>
  <c r="R290" i="1" s="1"/>
  <c r="R291" i="1" s="1"/>
  <c r="R292" i="1" s="1"/>
  <c r="R293" i="1" s="1"/>
  <c r="R294" i="1" s="1"/>
  <c r="R295" i="1" s="1"/>
  <c r="R296" i="1" s="1"/>
  <c r="R297" i="1" s="1"/>
  <c r="R298" i="1" s="1"/>
  <c r="R299" i="1" s="1"/>
  <c r="R300" i="1" s="1"/>
  <c r="R301" i="1" s="1"/>
  <c r="R302" i="1" s="1"/>
  <c r="R303" i="1" s="1"/>
  <c r="R304" i="1" s="1"/>
  <c r="R305" i="1" s="1"/>
  <c r="R306" i="1" s="1"/>
  <c r="R307" i="1" s="1"/>
  <c r="R308" i="1" s="1"/>
  <c r="R309" i="1" s="1"/>
  <c r="R310" i="1" s="1"/>
  <c r="R311" i="1" s="1"/>
  <c r="R312" i="1" s="1"/>
  <c r="S172" i="1"/>
  <c r="S173" i="1" s="1"/>
  <c r="S174" i="1" s="1"/>
  <c r="S175" i="1" s="1"/>
  <c r="S176" i="1" s="1"/>
  <c r="S177" i="1" s="1"/>
  <c r="S178" i="1" s="1"/>
  <c r="S179" i="1" s="1"/>
  <c r="S180" i="1" s="1"/>
  <c r="S181" i="1" s="1"/>
  <c r="S182" i="1" s="1"/>
  <c r="S183" i="1" s="1"/>
  <c r="S184" i="1" s="1"/>
  <c r="S185" i="1" s="1"/>
  <c r="S186" i="1" s="1"/>
  <c r="S187" i="1" s="1"/>
  <c r="S188" i="1" s="1"/>
  <c r="S189" i="1" s="1"/>
  <c r="S190" i="1" s="1"/>
  <c r="S191" i="1" s="1"/>
  <c r="S192" i="1" s="1"/>
  <c r="S193" i="1" s="1"/>
  <c r="S194" i="1" s="1"/>
  <c r="S195" i="1" s="1"/>
  <c r="S196" i="1" s="1"/>
  <c r="S197" i="1" s="1"/>
  <c r="S198" i="1" s="1"/>
  <c r="S199" i="1" s="1"/>
  <c r="S200" i="1" s="1"/>
  <c r="S201" i="1" s="1"/>
  <c r="S202" i="1" s="1"/>
  <c r="S203" i="1" s="1"/>
  <c r="S204" i="1" s="1"/>
  <c r="S205" i="1" s="1"/>
  <c r="S206" i="1" s="1"/>
  <c r="S207" i="1" s="1"/>
  <c r="S208" i="1" s="1"/>
  <c r="S209" i="1" s="1"/>
  <c r="S210" i="1" s="1"/>
  <c r="S211" i="1" s="1"/>
  <c r="S212" i="1" s="1"/>
  <c r="S213" i="1" s="1"/>
  <c r="S214" i="1" s="1"/>
  <c r="S215" i="1" s="1"/>
  <c r="S216" i="1" s="1"/>
  <c r="S217" i="1" s="1"/>
  <c r="S218" i="1" s="1"/>
  <c r="S219" i="1" s="1"/>
  <c r="S220" i="1" s="1"/>
  <c r="S221" i="1" s="1"/>
  <c r="S222" i="1" s="1"/>
  <c r="S223" i="1" s="1"/>
  <c r="S224" i="1" s="1"/>
  <c r="S225" i="1" s="1"/>
  <c r="S226" i="1" s="1"/>
  <c r="S227" i="1" s="1"/>
  <c r="S228" i="1" s="1"/>
  <c r="S229" i="1" s="1"/>
  <c r="S230" i="1" s="1"/>
  <c r="S231" i="1" s="1"/>
  <c r="S232" i="1" s="1"/>
  <c r="S233" i="1" s="1"/>
  <c r="S234" i="1" s="1"/>
  <c r="S235" i="1" s="1"/>
  <c r="S236" i="1" s="1"/>
  <c r="S237" i="1" s="1"/>
  <c r="S238" i="1" s="1"/>
  <c r="S239" i="1" s="1"/>
  <c r="S240" i="1" s="1"/>
  <c r="S241" i="1" s="1"/>
  <c r="S242" i="1" s="1"/>
  <c r="S243" i="1" s="1"/>
  <c r="S244" i="1" s="1"/>
  <c r="S245" i="1" s="1"/>
  <c r="S246" i="1" s="1"/>
  <c r="S247" i="1" s="1"/>
  <c r="S248" i="1" s="1"/>
  <c r="S249" i="1" s="1"/>
  <c r="S250" i="1" s="1"/>
  <c r="S251" i="1" s="1"/>
  <c r="S252" i="1" s="1"/>
  <c r="S253" i="1" s="1"/>
  <c r="S254" i="1" s="1"/>
  <c r="S255" i="1" s="1"/>
  <c r="S256" i="1" s="1"/>
  <c r="S257" i="1" s="1"/>
  <c r="S258" i="1" s="1"/>
  <c r="S259" i="1" s="1"/>
  <c r="S260" i="1" s="1"/>
  <c r="S261" i="1" s="1"/>
  <c r="S262" i="1" s="1"/>
  <c r="S263" i="1" s="1"/>
  <c r="S264" i="1" s="1"/>
  <c r="S265" i="1" s="1"/>
  <c r="S266" i="1" s="1"/>
  <c r="S267" i="1" s="1"/>
  <c r="S268" i="1" s="1"/>
  <c r="S269" i="1" s="1"/>
  <c r="S270" i="1" s="1"/>
  <c r="S271" i="1" s="1"/>
  <c r="S272" i="1" s="1"/>
  <c r="S273" i="1" s="1"/>
  <c r="S274" i="1" s="1"/>
  <c r="S275" i="1" s="1"/>
  <c r="S276" i="1" s="1"/>
  <c r="S277" i="1" s="1"/>
  <c r="S278" i="1" s="1"/>
  <c r="S279" i="1" s="1"/>
  <c r="S280" i="1" s="1"/>
  <c r="S281" i="1" s="1"/>
  <c r="S282" i="1" s="1"/>
  <c r="S283" i="1" s="1"/>
  <c r="S284" i="1" s="1"/>
  <c r="S285" i="1" s="1"/>
  <c r="S286" i="1" s="1"/>
  <c r="S287" i="1" s="1"/>
  <c r="S288" i="1" s="1"/>
  <c r="S289" i="1" s="1"/>
  <c r="S290" i="1" s="1"/>
  <c r="S291" i="1" s="1"/>
  <c r="S292" i="1" s="1"/>
  <c r="S293" i="1" s="1"/>
  <c r="S294" i="1" s="1"/>
  <c r="S295" i="1" s="1"/>
  <c r="S296" i="1" s="1"/>
  <c r="S297" i="1" s="1"/>
  <c r="S298" i="1" s="1"/>
  <c r="S299" i="1" s="1"/>
  <c r="S300" i="1" s="1"/>
  <c r="S301" i="1" s="1"/>
  <c r="S302" i="1" s="1"/>
  <c r="S303" i="1" s="1"/>
  <c r="S304" i="1" s="1"/>
  <c r="S305" i="1" s="1"/>
  <c r="S306" i="1" s="1"/>
  <c r="S307" i="1" s="1"/>
  <c r="S308" i="1" s="1"/>
  <c r="S309" i="1" s="1"/>
  <c r="S310" i="1" s="1"/>
  <c r="S311" i="1" s="1"/>
  <c r="S312" i="1" s="1"/>
  <c r="R172" i="1"/>
  <c r="N173" i="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O172" i="1"/>
  <c r="O173" i="1" s="1"/>
  <c r="O174" i="1" s="1"/>
  <c r="O175" i="1" s="1"/>
  <c r="O176" i="1" s="1"/>
  <c r="O177" i="1" s="1"/>
  <c r="O178" i="1" s="1"/>
  <c r="O179" i="1" s="1"/>
  <c r="O180" i="1" s="1"/>
  <c r="O181" i="1" s="1"/>
  <c r="O182" i="1" s="1"/>
  <c r="O183" i="1" s="1"/>
  <c r="N172" i="1"/>
  <c r="J173" i="1"/>
  <c r="J174" i="1" s="1"/>
  <c r="J175" i="1" s="1"/>
  <c r="J176" i="1" s="1"/>
  <c r="J177" i="1" s="1"/>
  <c r="J178" i="1" s="1"/>
  <c r="J179" i="1" s="1"/>
  <c r="J180" i="1" s="1"/>
  <c r="J181" i="1" s="1"/>
  <c r="J182" i="1" s="1"/>
  <c r="J183" i="1" s="1"/>
  <c r="K172" i="1"/>
  <c r="K173" i="1" s="1"/>
  <c r="K174" i="1" s="1"/>
  <c r="K175" i="1" s="1"/>
  <c r="K176" i="1" s="1"/>
  <c r="K177" i="1" s="1"/>
  <c r="K178" i="1" s="1"/>
  <c r="K179" i="1" s="1"/>
  <c r="K180" i="1" s="1"/>
  <c r="K181" i="1" s="1"/>
  <c r="K182" i="1" s="1"/>
  <c r="K183" i="1" s="1"/>
  <c r="J172" i="1"/>
  <c r="R7" i="1"/>
  <c r="R8" i="1" s="1"/>
  <c r="R9" i="1" s="1"/>
  <c r="R10" i="1" s="1"/>
  <c r="R11" i="1" s="1"/>
  <c r="R12" i="1" s="1"/>
  <c r="R13" i="1" s="1"/>
  <c r="R14" i="1" s="1"/>
  <c r="R15" i="1" s="1"/>
  <c r="R16" i="1" s="1"/>
  <c r="R17" i="1" s="1"/>
  <c r="R18" i="1" s="1"/>
  <c r="R19" i="1" s="1"/>
  <c r="R20" i="1" s="1"/>
  <c r="R21" i="1" s="1"/>
  <c r="R22" i="1" s="1"/>
  <c r="R23" i="1" s="1"/>
  <c r="R24" i="1" s="1"/>
  <c r="R25" i="1" s="1"/>
  <c r="R26" i="1" s="1"/>
  <c r="R27" i="1" s="1"/>
  <c r="R28" i="1" s="1"/>
  <c r="R29" i="1" s="1"/>
  <c r="R30" i="1" s="1"/>
  <c r="R31" i="1" s="1"/>
  <c r="R32" i="1" s="1"/>
  <c r="R33" i="1" s="1"/>
  <c r="R34" i="1" s="1"/>
  <c r="R35" i="1" s="1"/>
  <c r="R36" i="1" s="1"/>
  <c r="R37" i="1" s="1"/>
  <c r="R38" i="1" s="1"/>
  <c r="R39" i="1" s="1"/>
  <c r="R40" i="1" s="1"/>
  <c r="R41" i="1" s="1"/>
  <c r="R42" i="1" s="1"/>
  <c r="R43" i="1" s="1"/>
  <c r="R44" i="1" s="1"/>
  <c r="R45" i="1" s="1"/>
  <c r="R46" i="1" s="1"/>
  <c r="R47" i="1" s="1"/>
  <c r="R48" i="1" s="1"/>
  <c r="R49" i="1" s="1"/>
  <c r="R50" i="1" s="1"/>
  <c r="R51" i="1" s="1"/>
  <c r="R52" i="1" s="1"/>
  <c r="R53" i="1" s="1"/>
  <c r="R54" i="1" s="1"/>
  <c r="R55" i="1" s="1"/>
  <c r="R56" i="1" s="1"/>
  <c r="R57" i="1" s="1"/>
  <c r="R58" i="1" s="1"/>
  <c r="R59" i="1" s="1"/>
  <c r="R60" i="1" s="1"/>
  <c r="R61" i="1" s="1"/>
  <c r="R62" i="1" s="1"/>
  <c r="R63" i="1" s="1"/>
  <c r="R64" i="1" s="1"/>
  <c r="R65" i="1" s="1"/>
  <c r="R66" i="1" s="1"/>
  <c r="R67" i="1" s="1"/>
  <c r="R68" i="1" s="1"/>
  <c r="R69" i="1" s="1"/>
  <c r="R70" i="1" s="1"/>
  <c r="R71" i="1" s="1"/>
  <c r="R72" i="1" s="1"/>
  <c r="R73" i="1" s="1"/>
  <c r="R74" i="1" s="1"/>
  <c r="R75" i="1" s="1"/>
  <c r="R76" i="1" s="1"/>
  <c r="R77" i="1" s="1"/>
  <c r="R78" i="1" s="1"/>
  <c r="R79" i="1" s="1"/>
  <c r="R80" i="1" s="1"/>
  <c r="R81" i="1" s="1"/>
  <c r="R82" i="1" s="1"/>
  <c r="R83" i="1" s="1"/>
  <c r="R84" i="1" s="1"/>
  <c r="R85" i="1" s="1"/>
  <c r="R86" i="1" s="1"/>
  <c r="R87" i="1" s="1"/>
  <c r="R88" i="1" s="1"/>
  <c r="R89" i="1" s="1"/>
  <c r="R90" i="1" s="1"/>
  <c r="R91" i="1" s="1"/>
  <c r="R92" i="1" s="1"/>
  <c r="R93" i="1" s="1"/>
  <c r="R94" i="1" s="1"/>
  <c r="R95" i="1" s="1"/>
  <c r="R96" i="1" s="1"/>
  <c r="R97" i="1" s="1"/>
  <c r="R98" i="1" s="1"/>
  <c r="R99" i="1" s="1"/>
  <c r="R100" i="1" s="1"/>
  <c r="R101" i="1" s="1"/>
  <c r="R102" i="1" s="1"/>
  <c r="R103" i="1" s="1"/>
  <c r="R104" i="1" s="1"/>
  <c r="R105" i="1" s="1"/>
  <c r="R106" i="1" s="1"/>
  <c r="R107" i="1" s="1"/>
  <c r="R108" i="1" s="1"/>
  <c r="R109" i="1" s="1"/>
  <c r="R110" i="1" s="1"/>
  <c r="R111" i="1" s="1"/>
  <c r="R112" i="1" s="1"/>
  <c r="R113" i="1" s="1"/>
  <c r="R114" i="1" s="1"/>
  <c r="R115" i="1" s="1"/>
  <c r="R116" i="1" s="1"/>
  <c r="R117" i="1" s="1"/>
  <c r="R118" i="1" s="1"/>
  <c r="R119" i="1" s="1"/>
  <c r="R120" i="1" s="1"/>
  <c r="R121" i="1" s="1"/>
  <c r="R122" i="1" s="1"/>
  <c r="R123" i="1" s="1"/>
  <c r="R124" i="1" s="1"/>
  <c r="R125" i="1" s="1"/>
  <c r="R126" i="1" s="1"/>
  <c r="R127" i="1" s="1"/>
  <c r="R128" i="1" s="1"/>
  <c r="R129" i="1" s="1"/>
  <c r="R130" i="1" s="1"/>
  <c r="R131" i="1" s="1"/>
  <c r="R132" i="1" s="1"/>
  <c r="R133" i="1" s="1"/>
  <c r="R134" i="1" s="1"/>
  <c r="R135" i="1" s="1"/>
  <c r="R136" i="1" s="1"/>
  <c r="R137" i="1" s="1"/>
  <c r="R138" i="1" s="1"/>
  <c r="R139" i="1" s="1"/>
  <c r="R140" i="1" s="1"/>
  <c r="R141" i="1" s="1"/>
  <c r="R142" i="1" s="1"/>
  <c r="R143" i="1" s="1"/>
  <c r="R144" i="1" s="1"/>
  <c r="R145" i="1" s="1"/>
  <c r="R146" i="1" s="1"/>
  <c r="R147" i="1" s="1"/>
  <c r="R148" i="1" s="1"/>
  <c r="R149" i="1" s="1"/>
  <c r="R150" i="1" s="1"/>
  <c r="R151" i="1" s="1"/>
  <c r="R152" i="1" s="1"/>
  <c r="R153" i="1" s="1"/>
  <c r="R154" i="1" s="1"/>
  <c r="R155" i="1" s="1"/>
  <c r="R156" i="1" s="1"/>
  <c r="R157" i="1" s="1"/>
  <c r="R158" i="1" s="1"/>
  <c r="R159" i="1" s="1"/>
  <c r="R160" i="1" s="1"/>
  <c r="R161" i="1" s="1"/>
  <c r="R162" i="1" s="1"/>
  <c r="R163" i="1" s="1"/>
  <c r="R164" i="1" s="1"/>
  <c r="R165" i="1" s="1"/>
  <c r="R166" i="1" s="1"/>
  <c r="S6" i="1"/>
  <c r="S7" i="1" s="1"/>
  <c r="G47" i="2" s="1"/>
  <c r="R6" i="1"/>
  <c r="N7" i="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O6" i="1"/>
  <c r="O7" i="1" s="1"/>
  <c r="N6" i="1"/>
  <c r="F7" i="1"/>
  <c r="F8" i="1" s="1"/>
  <c r="F9" i="1" s="1"/>
  <c r="F10" i="1" s="1"/>
  <c r="F11" i="1" s="1"/>
  <c r="F12" i="1" s="1"/>
  <c r="F13" i="1" s="1"/>
  <c r="F14" i="1" s="1"/>
  <c r="F15" i="1" s="1"/>
  <c r="F16" i="1" s="1"/>
  <c r="F17" i="1" s="1"/>
  <c r="F18" i="1" s="1"/>
  <c r="F19" i="1" s="1"/>
  <c r="F20" i="1" s="1"/>
  <c r="F21" i="1" s="1"/>
  <c r="F22" i="1" s="1"/>
  <c r="F23" i="1" s="1"/>
  <c r="F24" i="1" s="1"/>
  <c r="F25" i="1" s="1"/>
  <c r="F26" i="1" s="1"/>
  <c r="F27" i="1" s="1"/>
  <c r="F28" i="1" s="1"/>
  <c r="F29" i="1" s="1"/>
  <c r="F30" i="1" s="1"/>
  <c r="F31" i="1" s="1"/>
  <c r="F32" i="1" s="1"/>
  <c r="F33" i="1" s="1"/>
  <c r="F34" i="1" s="1"/>
  <c r="F35" i="1" s="1"/>
  <c r="F36" i="1" s="1"/>
  <c r="F37" i="1" s="1"/>
  <c r="F38" i="1" s="1"/>
  <c r="F39" i="1" s="1"/>
  <c r="F40" i="1" s="1"/>
  <c r="F41" i="1" s="1"/>
  <c r="F42" i="1" s="1"/>
  <c r="F43" i="1" s="1"/>
  <c r="F44" i="1" s="1"/>
  <c r="F45" i="1" s="1"/>
  <c r="F46" i="1" s="1"/>
  <c r="F47" i="1" s="1"/>
  <c r="F48" i="1" s="1"/>
  <c r="F49" i="1" s="1"/>
  <c r="F50" i="1" s="1"/>
  <c r="F51" i="1" s="1"/>
  <c r="F52" i="1" s="1"/>
  <c r="F53" i="1" s="1"/>
  <c r="F54" i="1" s="1"/>
  <c r="F55" i="1" s="1"/>
  <c r="F56" i="1" s="1"/>
  <c r="F57" i="1" s="1"/>
  <c r="F58" i="1" s="1"/>
  <c r="F59" i="1" s="1"/>
  <c r="F60" i="1" s="1"/>
  <c r="F61" i="1" s="1"/>
  <c r="F62" i="1" s="1"/>
  <c r="F63" i="1" s="1"/>
  <c r="F64" i="1" s="1"/>
  <c r="F65" i="1" s="1"/>
  <c r="F66" i="1" s="1"/>
  <c r="F67" i="1" s="1"/>
  <c r="F68" i="1" s="1"/>
  <c r="F69" i="1" s="1"/>
  <c r="F70" i="1" s="1"/>
  <c r="F71" i="1" s="1"/>
  <c r="F72" i="1" s="1"/>
  <c r="F73" i="1" s="1"/>
  <c r="F74" i="1" s="1"/>
  <c r="F75" i="1" s="1"/>
  <c r="F76" i="1" s="1"/>
  <c r="F77" i="1" s="1"/>
  <c r="F78" i="1" s="1"/>
  <c r="F79" i="1" s="1"/>
  <c r="F80" i="1" s="1"/>
  <c r="F81" i="1" s="1"/>
  <c r="F82" i="1" s="1"/>
  <c r="F83" i="1" s="1"/>
  <c r="F84" i="1" s="1"/>
  <c r="F85" i="1" s="1"/>
  <c r="F86" i="1" s="1"/>
  <c r="F87" i="1" s="1"/>
  <c r="F88" i="1" s="1"/>
  <c r="F89" i="1" s="1"/>
  <c r="F90" i="1" s="1"/>
  <c r="F91" i="1" s="1"/>
  <c r="F92" i="1" s="1"/>
  <c r="F93" i="1" s="1"/>
  <c r="F94" i="1" s="1"/>
  <c r="F95" i="1" s="1"/>
  <c r="F96" i="1" s="1"/>
  <c r="F97" i="1" s="1"/>
  <c r="F98" i="1" s="1"/>
  <c r="F99" i="1" s="1"/>
  <c r="F100" i="1" s="1"/>
  <c r="F101" i="1" s="1"/>
  <c r="F102" i="1" s="1"/>
  <c r="F103" i="1" s="1"/>
  <c r="F104" i="1" s="1"/>
  <c r="F105" i="1" s="1"/>
  <c r="F106" i="1" s="1"/>
  <c r="F107" i="1" s="1"/>
  <c r="F108" i="1" s="1"/>
  <c r="F109" i="1" s="1"/>
  <c r="F110" i="1" s="1"/>
  <c r="F111" i="1" s="1"/>
  <c r="F112" i="1" s="1"/>
  <c r="F113" i="1" s="1"/>
  <c r="F114" i="1" s="1"/>
  <c r="F115" i="1" s="1"/>
  <c r="F116" i="1" s="1"/>
  <c r="F117" i="1" s="1"/>
  <c r="F118" i="1" s="1"/>
  <c r="F119" i="1" s="1"/>
  <c r="F120" i="1" s="1"/>
  <c r="F121" i="1" s="1"/>
  <c r="F122" i="1" s="1"/>
  <c r="F123" i="1" s="1"/>
  <c r="F124" i="1" s="1"/>
  <c r="F125" i="1" s="1"/>
  <c r="F126" i="1" s="1"/>
  <c r="F127" i="1" s="1"/>
  <c r="F128" i="1" s="1"/>
  <c r="F129" i="1" s="1"/>
  <c r="F130" i="1" s="1"/>
  <c r="F131" i="1" s="1"/>
  <c r="F132" i="1" s="1"/>
  <c r="F133" i="1" s="1"/>
  <c r="F134" i="1" s="1"/>
  <c r="F135" i="1" s="1"/>
  <c r="F136" i="1" s="1"/>
  <c r="F137" i="1" s="1"/>
  <c r="F138" i="1" s="1"/>
  <c r="F139" i="1" s="1"/>
  <c r="F140" i="1" s="1"/>
  <c r="F141" i="1" s="1"/>
  <c r="F142" i="1" s="1"/>
  <c r="F143" i="1" s="1"/>
  <c r="F144" i="1" s="1"/>
  <c r="F145" i="1" s="1"/>
  <c r="F146" i="1" s="1"/>
  <c r="F147" i="1" s="1"/>
  <c r="F148" i="1" s="1"/>
  <c r="F149" i="1" s="1"/>
  <c r="F150" i="1" s="1"/>
  <c r="F151" i="1" s="1"/>
  <c r="F152" i="1" s="1"/>
  <c r="F153" i="1" s="1"/>
  <c r="F154" i="1" s="1"/>
  <c r="F155" i="1" s="1"/>
  <c r="F156" i="1" s="1"/>
  <c r="F157" i="1" s="1"/>
  <c r="F158" i="1" s="1"/>
  <c r="F159" i="1" s="1"/>
  <c r="F160" i="1" s="1"/>
  <c r="F161" i="1" s="1"/>
  <c r="F162" i="1" s="1"/>
  <c r="F163" i="1" s="1"/>
  <c r="F164" i="1" s="1"/>
  <c r="F165" i="1" s="1"/>
  <c r="F166" i="1" s="1"/>
  <c r="G6" i="1"/>
  <c r="G7" i="1" s="1"/>
  <c r="G8" i="1" s="1"/>
  <c r="G9" i="1" s="1"/>
  <c r="G10" i="1" s="1"/>
  <c r="G11" i="1" s="1"/>
  <c r="G12" i="1" s="1"/>
  <c r="G13" i="1" s="1"/>
  <c r="G14" i="1" s="1"/>
  <c r="G15" i="1" s="1"/>
  <c r="G16" i="1" s="1"/>
  <c r="G17" i="1" s="1"/>
  <c r="G18" i="1" s="1"/>
  <c r="G19" i="1" s="1"/>
  <c r="G20" i="1" s="1"/>
  <c r="G21" i="1" s="1"/>
  <c r="G22" i="1" s="1"/>
  <c r="G23" i="1" s="1"/>
  <c r="G24" i="1" s="1"/>
  <c r="G25" i="1" s="1"/>
  <c r="G26" i="1" s="1"/>
  <c r="G27" i="1" s="1"/>
  <c r="G28" i="1" s="1"/>
  <c r="G29" i="1" s="1"/>
  <c r="G30" i="1" s="1"/>
  <c r="G31" i="1" s="1"/>
  <c r="G32" i="1" s="1"/>
  <c r="G33" i="1" s="1"/>
  <c r="G34" i="1" s="1"/>
  <c r="G35" i="1" s="1"/>
  <c r="G36" i="1" s="1"/>
  <c r="G37" i="1" s="1"/>
  <c r="G38" i="1" s="1"/>
  <c r="G39" i="1" s="1"/>
  <c r="G40" i="1" s="1"/>
  <c r="G41" i="1" s="1"/>
  <c r="G42" i="1" s="1"/>
  <c r="G43" i="1" s="1"/>
  <c r="G44" i="1" s="1"/>
  <c r="G45" i="1" s="1"/>
  <c r="G46" i="1" s="1"/>
  <c r="G47" i="1" s="1"/>
  <c r="G48" i="1" s="1"/>
  <c r="G49" i="1" s="1"/>
  <c r="G50" i="1" s="1"/>
  <c r="G51" i="1" s="1"/>
  <c r="G52" i="1" s="1"/>
  <c r="G53" i="1" s="1"/>
  <c r="G54" i="1" s="1"/>
  <c r="G55" i="1" s="1"/>
  <c r="G56" i="1" s="1"/>
  <c r="G57" i="1" s="1"/>
  <c r="G58" i="1" s="1"/>
  <c r="G59" i="1" s="1"/>
  <c r="G60" i="1" s="1"/>
  <c r="G61" i="1" s="1"/>
  <c r="G62" i="1" s="1"/>
  <c r="G63" i="1" s="1"/>
  <c r="G64" i="1" s="1"/>
  <c r="G65" i="1" s="1"/>
  <c r="G66" i="1" s="1"/>
  <c r="G67" i="1" s="1"/>
  <c r="G68" i="1" s="1"/>
  <c r="G69" i="1" s="1"/>
  <c r="G70" i="1" s="1"/>
  <c r="G71" i="1" s="1"/>
  <c r="G72" i="1" s="1"/>
  <c r="G73" i="1" s="1"/>
  <c r="G74" i="1" s="1"/>
  <c r="G75" i="1" s="1"/>
  <c r="G76" i="1" s="1"/>
  <c r="G77" i="1" s="1"/>
  <c r="G78" i="1" s="1"/>
  <c r="G79" i="1" s="1"/>
  <c r="G80" i="1" s="1"/>
  <c r="G81" i="1" s="1"/>
  <c r="G82" i="1" s="1"/>
  <c r="G83" i="1" s="1"/>
  <c r="G84" i="1" s="1"/>
  <c r="G85" i="1" s="1"/>
  <c r="G86" i="1" s="1"/>
  <c r="G87" i="1" s="1"/>
  <c r="G88" i="1" s="1"/>
  <c r="G89" i="1" s="1"/>
  <c r="G90" i="1" s="1"/>
  <c r="G91" i="1" s="1"/>
  <c r="G92" i="1" s="1"/>
  <c r="G93" i="1" s="1"/>
  <c r="G94" i="1" s="1"/>
  <c r="G95" i="1" s="1"/>
  <c r="G96" i="1" s="1"/>
  <c r="G97" i="1" s="1"/>
  <c r="G98" i="1" s="1"/>
  <c r="G99" i="1" s="1"/>
  <c r="G100" i="1" s="1"/>
  <c r="G101" i="1" s="1"/>
  <c r="G102" i="1" s="1"/>
  <c r="G103" i="1" s="1"/>
  <c r="G104" i="1" s="1"/>
  <c r="G105" i="1" s="1"/>
  <c r="G106" i="1" s="1"/>
  <c r="G107" i="1" s="1"/>
  <c r="G108" i="1" s="1"/>
  <c r="G109" i="1" s="1"/>
  <c r="G110" i="1" s="1"/>
  <c r="G111" i="1" s="1"/>
  <c r="G112" i="1" s="1"/>
  <c r="G113" i="1" s="1"/>
  <c r="G114" i="1" s="1"/>
  <c r="G115" i="1" s="1"/>
  <c r="G116" i="1" s="1"/>
  <c r="G117" i="1" s="1"/>
  <c r="G118" i="1" s="1"/>
  <c r="G119" i="1" s="1"/>
  <c r="G120" i="1" s="1"/>
  <c r="G121" i="1" s="1"/>
  <c r="G122" i="1" s="1"/>
  <c r="G123" i="1" s="1"/>
  <c r="G124" i="1" s="1"/>
  <c r="G125" i="1" s="1"/>
  <c r="G126" i="1" s="1"/>
  <c r="G127" i="1" s="1"/>
  <c r="G128" i="1" s="1"/>
  <c r="G129" i="1" s="1"/>
  <c r="G130" i="1" s="1"/>
  <c r="G131" i="1" s="1"/>
  <c r="G132" i="1" s="1"/>
  <c r="G133" i="1" s="1"/>
  <c r="G134" i="1" s="1"/>
  <c r="G135" i="1" s="1"/>
  <c r="G136" i="1" s="1"/>
  <c r="G137" i="1" s="1"/>
  <c r="G138" i="1" s="1"/>
  <c r="G139" i="1" s="1"/>
  <c r="G140" i="1" s="1"/>
  <c r="G141" i="1" s="1"/>
  <c r="G142" i="1" s="1"/>
  <c r="G143" i="1" s="1"/>
  <c r="G144" i="1" s="1"/>
  <c r="G145" i="1" s="1"/>
  <c r="G146" i="1" s="1"/>
  <c r="G147" i="1" s="1"/>
  <c r="G148" i="1" s="1"/>
  <c r="G149" i="1" s="1"/>
  <c r="G150" i="1" s="1"/>
  <c r="G151" i="1" s="1"/>
  <c r="G152" i="1" s="1"/>
  <c r="G153" i="1" s="1"/>
  <c r="G154" i="1" s="1"/>
  <c r="G155" i="1" s="1"/>
  <c r="G156" i="1" s="1"/>
  <c r="G157" i="1" s="1"/>
  <c r="G158" i="1" s="1"/>
  <c r="G159" i="1" s="1"/>
  <c r="G160" i="1" s="1"/>
  <c r="G161" i="1" s="1"/>
  <c r="G162" i="1" s="1"/>
  <c r="G163" i="1" s="1"/>
  <c r="G164" i="1" s="1"/>
  <c r="G165" i="1" s="1"/>
  <c r="G166" i="1" s="1"/>
  <c r="F6" i="1"/>
  <c r="F173" i="1"/>
  <c r="F174" i="1" s="1"/>
  <c r="F175" i="1" s="1"/>
  <c r="F176" i="1" s="1"/>
  <c r="F177" i="1" s="1"/>
  <c r="F178" i="1" s="1"/>
  <c r="F179" i="1" s="1"/>
  <c r="F180" i="1" s="1"/>
  <c r="F181" i="1" s="1"/>
  <c r="F182" i="1" s="1"/>
  <c r="F183" i="1" s="1"/>
  <c r="F184" i="1" s="1"/>
  <c r="F185" i="1" s="1"/>
  <c r="F186" i="1" s="1"/>
  <c r="F187" i="1" s="1"/>
  <c r="F188" i="1" s="1"/>
  <c r="F189" i="1" s="1"/>
  <c r="F190" i="1" s="1"/>
  <c r="F191" i="1" s="1"/>
  <c r="F192" i="1" s="1"/>
  <c r="F193" i="1" s="1"/>
  <c r="F194" i="1" s="1"/>
  <c r="F195" i="1" s="1"/>
  <c r="F196" i="1" s="1"/>
  <c r="F197" i="1" s="1"/>
  <c r="F198" i="1" s="1"/>
  <c r="F199" i="1" s="1"/>
  <c r="F200" i="1" s="1"/>
  <c r="F201" i="1" s="1"/>
  <c r="F202" i="1" s="1"/>
  <c r="F203" i="1" s="1"/>
  <c r="F204" i="1" s="1"/>
  <c r="F205" i="1" s="1"/>
  <c r="F206" i="1" s="1"/>
  <c r="F207" i="1" s="1"/>
  <c r="F208" i="1" s="1"/>
  <c r="F209" i="1" s="1"/>
  <c r="F210" i="1" s="1"/>
  <c r="F211" i="1" s="1"/>
  <c r="F212" i="1" s="1"/>
  <c r="F213" i="1" s="1"/>
  <c r="F214" i="1" s="1"/>
  <c r="F215" i="1" s="1"/>
  <c r="F216" i="1" s="1"/>
  <c r="F217" i="1" s="1"/>
  <c r="F218" i="1" s="1"/>
  <c r="F219" i="1" s="1"/>
  <c r="F220" i="1" s="1"/>
  <c r="F221" i="1" s="1"/>
  <c r="F222" i="1" s="1"/>
  <c r="F223" i="1" s="1"/>
  <c r="F224" i="1" s="1"/>
  <c r="F225" i="1" s="1"/>
  <c r="F226" i="1" s="1"/>
  <c r="F227" i="1" s="1"/>
  <c r="F228" i="1" s="1"/>
  <c r="F229" i="1" s="1"/>
  <c r="F230" i="1" s="1"/>
  <c r="F231" i="1" s="1"/>
  <c r="F232" i="1" s="1"/>
  <c r="F233" i="1" s="1"/>
  <c r="F234" i="1" s="1"/>
  <c r="F235" i="1" s="1"/>
  <c r="F236" i="1" s="1"/>
  <c r="F237" i="1" s="1"/>
  <c r="F238" i="1" s="1"/>
  <c r="F239" i="1" s="1"/>
  <c r="F240" i="1" s="1"/>
  <c r="F241" i="1" s="1"/>
  <c r="F242" i="1" s="1"/>
  <c r="F243" i="1" s="1"/>
  <c r="F244" i="1" s="1"/>
  <c r="F245" i="1" s="1"/>
  <c r="F246" i="1" s="1"/>
  <c r="F247" i="1" s="1"/>
  <c r="F248" i="1" s="1"/>
  <c r="F249" i="1" s="1"/>
  <c r="F250" i="1" s="1"/>
  <c r="F251" i="1" s="1"/>
  <c r="F252" i="1" s="1"/>
  <c r="F253" i="1" s="1"/>
  <c r="F254" i="1" s="1"/>
  <c r="F255" i="1" s="1"/>
  <c r="F256" i="1" s="1"/>
  <c r="F257" i="1" s="1"/>
  <c r="F258" i="1" s="1"/>
  <c r="F259" i="1" s="1"/>
  <c r="F260" i="1" s="1"/>
  <c r="F261" i="1" s="1"/>
  <c r="F262" i="1" s="1"/>
  <c r="F263" i="1" s="1"/>
  <c r="F264" i="1" s="1"/>
  <c r="F265" i="1" s="1"/>
  <c r="F266" i="1" s="1"/>
  <c r="F267" i="1" s="1"/>
  <c r="F268" i="1" s="1"/>
  <c r="F269" i="1" s="1"/>
  <c r="F270" i="1" s="1"/>
  <c r="F271" i="1" s="1"/>
  <c r="F272" i="1" s="1"/>
  <c r="F273" i="1" s="1"/>
  <c r="F274" i="1" s="1"/>
  <c r="F275" i="1" s="1"/>
  <c r="F276" i="1" s="1"/>
  <c r="F277" i="1" s="1"/>
  <c r="F278" i="1" s="1"/>
  <c r="F279" i="1" s="1"/>
  <c r="F280" i="1" s="1"/>
  <c r="F281" i="1" s="1"/>
  <c r="F282" i="1" s="1"/>
  <c r="F283" i="1" s="1"/>
  <c r="F284" i="1" s="1"/>
  <c r="F285" i="1" s="1"/>
  <c r="F286" i="1" s="1"/>
  <c r="F287" i="1" s="1"/>
  <c r="F288" i="1" s="1"/>
  <c r="F289" i="1" s="1"/>
  <c r="F290" i="1" s="1"/>
  <c r="F291" i="1" s="1"/>
  <c r="F292" i="1" s="1"/>
  <c r="F293" i="1" s="1"/>
  <c r="F294" i="1" s="1"/>
  <c r="F295" i="1" s="1"/>
  <c r="F296" i="1" s="1"/>
  <c r="F297" i="1" s="1"/>
  <c r="F298" i="1" s="1"/>
  <c r="F299" i="1" s="1"/>
  <c r="F300" i="1" s="1"/>
  <c r="F301" i="1" s="1"/>
  <c r="F302" i="1" s="1"/>
  <c r="F303" i="1" s="1"/>
  <c r="F304" i="1" s="1"/>
  <c r="F305" i="1" s="1"/>
  <c r="F306" i="1" s="1"/>
  <c r="F307" i="1" s="1"/>
  <c r="F308" i="1" s="1"/>
  <c r="F309" i="1" s="1"/>
  <c r="F310" i="1" s="1"/>
  <c r="F311" i="1" s="1"/>
  <c r="F312" i="1" s="1"/>
  <c r="H745" i="1"/>
  <c r="D454" i="1"/>
  <c r="H454" i="1"/>
  <c r="L454" i="1"/>
  <c r="D320" i="1"/>
  <c r="H320" i="1"/>
  <c r="L320" i="1"/>
  <c r="P320" i="1"/>
  <c r="O318" i="1"/>
  <c r="O319" i="1" s="1"/>
  <c r="O320" i="1" s="1"/>
  <c r="O321" i="1" s="1"/>
  <c r="O322" i="1" s="1"/>
  <c r="O323" i="1" s="1"/>
  <c r="O324" i="1" s="1"/>
  <c r="O325" i="1" s="1"/>
  <c r="O326" i="1" s="1"/>
  <c r="O327" i="1" s="1"/>
  <c r="O328" i="1" s="1"/>
  <c r="O329" i="1" s="1"/>
  <c r="N318" i="1"/>
  <c r="P174" i="1"/>
  <c r="L174" i="1"/>
  <c r="D174" i="1"/>
  <c r="H174" i="1"/>
  <c r="G172" i="1"/>
  <c r="G173" i="1" s="1"/>
  <c r="G174" i="1" s="1"/>
  <c r="G175" i="1" s="1"/>
  <c r="G176" i="1" s="1"/>
  <c r="G177" i="1" s="1"/>
  <c r="G178" i="1" s="1"/>
  <c r="G179" i="1" s="1"/>
  <c r="G180" i="1" s="1"/>
  <c r="G181" i="1" s="1"/>
  <c r="G182" i="1" s="1"/>
  <c r="G183" i="1" s="1"/>
  <c r="G184" i="1" s="1"/>
  <c r="G185" i="1" s="1"/>
  <c r="G186" i="1" s="1"/>
  <c r="G187" i="1" s="1"/>
  <c r="G188" i="1" s="1"/>
  <c r="G189" i="1" s="1"/>
  <c r="G190" i="1" s="1"/>
  <c r="G191" i="1" s="1"/>
  <c r="G192" i="1" s="1"/>
  <c r="G193" i="1" s="1"/>
  <c r="G194" i="1" s="1"/>
  <c r="G195" i="1" s="1"/>
  <c r="G196" i="1" s="1"/>
  <c r="G197" i="1" s="1"/>
  <c r="G198" i="1" s="1"/>
  <c r="G199" i="1" s="1"/>
  <c r="G200" i="1" s="1"/>
  <c r="G201" i="1" s="1"/>
  <c r="G202" i="1" s="1"/>
  <c r="G203" i="1" s="1"/>
  <c r="G204" i="1" s="1"/>
  <c r="G205" i="1" s="1"/>
  <c r="G206" i="1" s="1"/>
  <c r="G207" i="1" s="1"/>
  <c r="G208" i="1" s="1"/>
  <c r="G209" i="1" s="1"/>
  <c r="G210" i="1" s="1"/>
  <c r="G211" i="1" s="1"/>
  <c r="G212" i="1" s="1"/>
  <c r="G213" i="1" s="1"/>
  <c r="G214" i="1" s="1"/>
  <c r="G215" i="1" s="1"/>
  <c r="G216" i="1" s="1"/>
  <c r="G217" i="1" s="1"/>
  <c r="G218" i="1" s="1"/>
  <c r="G219" i="1" s="1"/>
  <c r="G220" i="1" s="1"/>
  <c r="G221" i="1" s="1"/>
  <c r="G222" i="1" s="1"/>
  <c r="G223" i="1" s="1"/>
  <c r="G224" i="1" s="1"/>
  <c r="G225" i="1" s="1"/>
  <c r="G226" i="1" s="1"/>
  <c r="G227" i="1" s="1"/>
  <c r="G228" i="1" s="1"/>
  <c r="G229" i="1" s="1"/>
  <c r="G230" i="1" s="1"/>
  <c r="G231" i="1" s="1"/>
  <c r="G232" i="1" s="1"/>
  <c r="G233" i="1" s="1"/>
  <c r="G234" i="1" s="1"/>
  <c r="G235" i="1" s="1"/>
  <c r="G236" i="1" s="1"/>
  <c r="G237" i="1" s="1"/>
  <c r="G238" i="1" s="1"/>
  <c r="G239" i="1" s="1"/>
  <c r="G240" i="1" s="1"/>
  <c r="G241" i="1" s="1"/>
  <c r="G242" i="1" s="1"/>
  <c r="G243" i="1" s="1"/>
  <c r="G244" i="1" s="1"/>
  <c r="G245" i="1" s="1"/>
  <c r="G246" i="1" s="1"/>
  <c r="G247" i="1" s="1"/>
  <c r="G248" i="1" s="1"/>
  <c r="G249" i="1" s="1"/>
  <c r="G250" i="1" s="1"/>
  <c r="G251" i="1" s="1"/>
  <c r="G252" i="1" s="1"/>
  <c r="G253" i="1" s="1"/>
  <c r="G254" i="1" s="1"/>
  <c r="G255" i="1" s="1"/>
  <c r="G256" i="1" s="1"/>
  <c r="G257" i="1" s="1"/>
  <c r="G258" i="1" s="1"/>
  <c r="G259" i="1" s="1"/>
  <c r="G260" i="1" s="1"/>
  <c r="G261" i="1" s="1"/>
  <c r="G262" i="1" s="1"/>
  <c r="G263" i="1" s="1"/>
  <c r="G264" i="1" s="1"/>
  <c r="G265" i="1" s="1"/>
  <c r="G266" i="1" s="1"/>
  <c r="G267" i="1" s="1"/>
  <c r="G268" i="1" s="1"/>
  <c r="G269" i="1" s="1"/>
  <c r="G270" i="1" s="1"/>
  <c r="G271" i="1" s="1"/>
  <c r="G272" i="1" s="1"/>
  <c r="G273" i="1" s="1"/>
  <c r="G274" i="1" s="1"/>
  <c r="G275" i="1" s="1"/>
  <c r="G276" i="1" s="1"/>
  <c r="G277" i="1" s="1"/>
  <c r="G278" i="1" s="1"/>
  <c r="G279" i="1" s="1"/>
  <c r="G280" i="1" s="1"/>
  <c r="G281" i="1" s="1"/>
  <c r="G282" i="1" s="1"/>
  <c r="G283" i="1" s="1"/>
  <c r="G284" i="1" s="1"/>
  <c r="G285" i="1" s="1"/>
  <c r="G286" i="1" s="1"/>
  <c r="G287" i="1" s="1"/>
  <c r="G288" i="1" s="1"/>
  <c r="G289" i="1" s="1"/>
  <c r="G290" i="1" s="1"/>
  <c r="G291" i="1" s="1"/>
  <c r="G292" i="1" s="1"/>
  <c r="G293" i="1" s="1"/>
  <c r="G294" i="1" s="1"/>
  <c r="G295" i="1" s="1"/>
  <c r="G296" i="1" s="1"/>
  <c r="G297" i="1" s="1"/>
  <c r="G298" i="1" s="1"/>
  <c r="G299" i="1" s="1"/>
  <c r="G300" i="1" s="1"/>
  <c r="G301" i="1" s="1"/>
  <c r="G302" i="1" s="1"/>
  <c r="G303" i="1" s="1"/>
  <c r="G304" i="1" s="1"/>
  <c r="G305" i="1" s="1"/>
  <c r="G306" i="1" s="1"/>
  <c r="G307" i="1" s="1"/>
  <c r="G308" i="1" s="1"/>
  <c r="G309" i="1" s="1"/>
  <c r="G310" i="1" s="1"/>
  <c r="G311" i="1" s="1"/>
  <c r="G312" i="1" s="1"/>
  <c r="F172" i="1"/>
  <c r="P22" i="1"/>
  <c r="P21" i="1"/>
  <c r="P20" i="1"/>
  <c r="P19" i="1"/>
  <c r="P18" i="1"/>
  <c r="P17" i="1"/>
  <c r="P16" i="1"/>
  <c r="P15" i="1"/>
  <c r="P14" i="1"/>
  <c r="P13" i="1"/>
  <c r="P12" i="1"/>
  <c r="P11" i="1"/>
  <c r="P10" i="1"/>
  <c r="P9" i="1"/>
  <c r="P8" i="1"/>
  <c r="P7" i="1"/>
  <c r="P6" i="1"/>
  <c r="L22" i="1"/>
  <c r="L21" i="1"/>
  <c r="L20" i="1"/>
  <c r="L19" i="1"/>
  <c r="L18" i="1"/>
  <c r="L17" i="1"/>
  <c r="L16" i="1"/>
  <c r="L15" i="1"/>
  <c r="L14" i="1"/>
  <c r="L13" i="1"/>
  <c r="L12" i="1"/>
  <c r="L11" i="1"/>
  <c r="L10" i="1"/>
  <c r="L9" i="1"/>
  <c r="L8" i="1"/>
  <c r="L7" i="1"/>
  <c r="L6" i="1"/>
  <c r="H22" i="1"/>
  <c r="H21" i="1"/>
  <c r="H20" i="1"/>
  <c r="H19" i="1"/>
  <c r="H18" i="1"/>
  <c r="H17" i="1"/>
  <c r="H16" i="1"/>
  <c r="H15" i="1"/>
  <c r="H14" i="1"/>
  <c r="H13" i="1"/>
  <c r="H12" i="1"/>
  <c r="H11" i="1"/>
  <c r="H10" i="1"/>
  <c r="H9" i="1"/>
  <c r="H8" i="1"/>
  <c r="H7" i="1"/>
  <c r="H6" i="1"/>
  <c r="D22" i="1"/>
  <c r="D21" i="1"/>
  <c r="D20" i="1"/>
  <c r="D19" i="1"/>
  <c r="D18" i="1"/>
  <c r="D17" i="1"/>
  <c r="D16" i="1"/>
  <c r="D15" i="1"/>
  <c r="D14" i="1"/>
  <c r="D13" i="1"/>
  <c r="D12" i="1"/>
  <c r="D11" i="1"/>
  <c r="D10" i="1"/>
  <c r="D6" i="1"/>
  <c r="D7" i="1"/>
  <c r="D8" i="1"/>
  <c r="D9" i="1"/>
  <c r="P434" i="1"/>
  <c r="P431" i="1"/>
  <c r="P428" i="1"/>
  <c r="P425" i="1"/>
  <c r="P422" i="1"/>
  <c r="P419" i="1"/>
  <c r="P416" i="1"/>
  <c r="P413" i="1"/>
  <c r="P410" i="1"/>
  <c r="P407" i="1"/>
  <c r="P404" i="1"/>
  <c r="P401" i="1"/>
  <c r="P398" i="1"/>
  <c r="P395" i="1"/>
  <c r="P392" i="1"/>
  <c r="P389" i="1"/>
  <c r="P386" i="1"/>
  <c r="P383" i="1"/>
  <c r="P380" i="1"/>
  <c r="P377" i="1"/>
  <c r="P374" i="1"/>
  <c r="P371" i="1"/>
  <c r="P368" i="1"/>
  <c r="P365" i="1"/>
  <c r="P362" i="1"/>
  <c r="P359" i="1"/>
  <c r="P356" i="1"/>
  <c r="P353" i="1"/>
  <c r="P350" i="1"/>
  <c r="P347" i="1"/>
  <c r="P344" i="1"/>
  <c r="P341" i="1"/>
  <c r="P338" i="1"/>
  <c r="P335" i="1"/>
  <c r="P332" i="1"/>
  <c r="P329" i="1"/>
  <c r="P326" i="1"/>
  <c r="P323" i="1"/>
  <c r="P300" i="1"/>
  <c r="P297" i="1"/>
  <c r="P294" i="1"/>
  <c r="P291" i="1"/>
  <c r="P288" i="1"/>
  <c r="P285" i="1"/>
  <c r="P282" i="1"/>
  <c r="P279" i="1"/>
  <c r="P276" i="1"/>
  <c r="P273" i="1"/>
  <c r="P270" i="1"/>
  <c r="P267" i="1"/>
  <c r="P264" i="1"/>
  <c r="P261" i="1"/>
  <c r="P258" i="1"/>
  <c r="P255" i="1"/>
  <c r="P252" i="1"/>
  <c r="P249" i="1"/>
  <c r="P246" i="1"/>
  <c r="P243" i="1"/>
  <c r="P240" i="1"/>
  <c r="P237" i="1"/>
  <c r="P234" i="1"/>
  <c r="P231" i="1"/>
  <c r="P228" i="1"/>
  <c r="P225" i="1"/>
  <c r="P222" i="1"/>
  <c r="P219" i="1"/>
  <c r="P216" i="1"/>
  <c r="P213" i="1"/>
  <c r="P210" i="1"/>
  <c r="P207" i="1"/>
  <c r="P204" i="1"/>
  <c r="P201" i="1"/>
  <c r="P198" i="1"/>
  <c r="P195" i="1"/>
  <c r="P192" i="1"/>
  <c r="P189" i="1"/>
  <c r="P186" i="1"/>
  <c r="P183" i="1"/>
  <c r="P180" i="1"/>
  <c r="P177" i="1"/>
  <c r="P154" i="1"/>
  <c r="P151" i="1"/>
  <c r="P148" i="1"/>
  <c r="P145" i="1"/>
  <c r="P142" i="1"/>
  <c r="P139" i="1"/>
  <c r="P136" i="1"/>
  <c r="P133" i="1"/>
  <c r="P130" i="1"/>
  <c r="P127" i="1"/>
  <c r="P124" i="1"/>
  <c r="P121" i="1"/>
  <c r="P118" i="1"/>
  <c r="P115" i="1"/>
  <c r="P112" i="1"/>
  <c r="P109" i="1"/>
  <c r="P106" i="1"/>
  <c r="P103" i="1"/>
  <c r="P100" i="1"/>
  <c r="P97" i="1"/>
  <c r="P94" i="1"/>
  <c r="P91" i="1"/>
  <c r="P88" i="1"/>
  <c r="P85" i="1"/>
  <c r="P82" i="1"/>
  <c r="P79" i="1"/>
  <c r="P76" i="1"/>
  <c r="P73" i="1"/>
  <c r="P70" i="1"/>
  <c r="P67" i="1"/>
  <c r="P64" i="1"/>
  <c r="P61" i="1"/>
  <c r="P58" i="1"/>
  <c r="P55" i="1"/>
  <c r="P52" i="1"/>
  <c r="P49" i="1"/>
  <c r="P46" i="1"/>
  <c r="P43" i="1"/>
  <c r="P40" i="1"/>
  <c r="P37" i="1"/>
  <c r="P34" i="1"/>
  <c r="P31" i="1"/>
  <c r="P28" i="1"/>
  <c r="P25" i="1"/>
  <c r="L892" i="1"/>
  <c r="L889" i="1"/>
  <c r="L886" i="1"/>
  <c r="L883" i="1"/>
  <c r="L880" i="1"/>
  <c r="L877" i="1"/>
  <c r="L874" i="1"/>
  <c r="L871" i="1"/>
  <c r="L868" i="1"/>
  <c r="L865" i="1"/>
  <c r="L862" i="1"/>
  <c r="L859" i="1"/>
  <c r="L856" i="1"/>
  <c r="L853" i="1"/>
  <c r="L850" i="1"/>
  <c r="L847" i="1"/>
  <c r="L844" i="1"/>
  <c r="L841" i="1"/>
  <c r="L838" i="1"/>
  <c r="L835" i="1"/>
  <c r="L832" i="1"/>
  <c r="L829" i="1"/>
  <c r="L826" i="1"/>
  <c r="L823" i="1"/>
  <c r="L820" i="1"/>
  <c r="L817" i="1"/>
  <c r="L814" i="1"/>
  <c r="L811" i="1"/>
  <c r="L808" i="1"/>
  <c r="L805" i="1"/>
  <c r="L802" i="1"/>
  <c r="L799" i="1"/>
  <c r="L796" i="1"/>
  <c r="L793" i="1"/>
  <c r="L790" i="1"/>
  <c r="L787" i="1"/>
  <c r="L784" i="1"/>
  <c r="L781" i="1"/>
  <c r="L778" i="1"/>
  <c r="L775" i="1"/>
  <c r="L772" i="1"/>
  <c r="L769" i="1"/>
  <c r="L766" i="1"/>
  <c r="L763" i="1"/>
  <c r="L760" i="1"/>
  <c r="L759" i="1"/>
  <c r="L758" i="1"/>
  <c r="L757" i="1"/>
  <c r="L756" i="1"/>
  <c r="L755" i="1"/>
  <c r="L754" i="1"/>
  <c r="L753" i="1"/>
  <c r="L752" i="1"/>
  <c r="L751" i="1"/>
  <c r="L750" i="1"/>
  <c r="L749" i="1"/>
  <c r="L748" i="1"/>
  <c r="L747" i="1"/>
  <c r="L746" i="1"/>
  <c r="L745" i="1"/>
  <c r="H892" i="1"/>
  <c r="H889" i="1"/>
  <c r="H886" i="1"/>
  <c r="H883" i="1"/>
  <c r="H880" i="1"/>
  <c r="H877" i="1"/>
  <c r="H874" i="1"/>
  <c r="H871" i="1"/>
  <c r="H868" i="1"/>
  <c r="H865" i="1"/>
  <c r="H862" i="1"/>
  <c r="H859" i="1"/>
  <c r="H856" i="1"/>
  <c r="H853" i="1"/>
  <c r="H850" i="1"/>
  <c r="H847" i="1"/>
  <c r="H844" i="1"/>
  <c r="H841" i="1"/>
  <c r="H838" i="1"/>
  <c r="H835" i="1"/>
  <c r="H832" i="1"/>
  <c r="H829" i="1"/>
  <c r="H826" i="1"/>
  <c r="H823" i="1"/>
  <c r="H820" i="1"/>
  <c r="H817" i="1"/>
  <c r="H814" i="1"/>
  <c r="H811" i="1"/>
  <c r="H808" i="1"/>
  <c r="H805" i="1"/>
  <c r="H802" i="1"/>
  <c r="H799" i="1"/>
  <c r="H796" i="1"/>
  <c r="H793" i="1"/>
  <c r="H790" i="1"/>
  <c r="H787" i="1"/>
  <c r="H784" i="1"/>
  <c r="H781" i="1"/>
  <c r="H778" i="1"/>
  <c r="H775" i="1"/>
  <c r="H772" i="1"/>
  <c r="H769" i="1"/>
  <c r="H766" i="1"/>
  <c r="H763" i="1"/>
  <c r="H760" i="1"/>
  <c r="H759" i="1"/>
  <c r="H758" i="1"/>
  <c r="H757" i="1"/>
  <c r="H756" i="1"/>
  <c r="H755" i="1"/>
  <c r="H754" i="1"/>
  <c r="H753" i="1"/>
  <c r="H752" i="1"/>
  <c r="H751" i="1"/>
  <c r="H750" i="1"/>
  <c r="H749" i="1"/>
  <c r="H748" i="1"/>
  <c r="H747" i="1"/>
  <c r="H746" i="1"/>
  <c r="D769" i="1"/>
  <c r="D772" i="1"/>
  <c r="D775" i="1"/>
  <c r="D778" i="1"/>
  <c r="D781" i="1"/>
  <c r="D784" i="1"/>
  <c r="D787" i="1"/>
  <c r="D790" i="1"/>
  <c r="D793" i="1"/>
  <c r="D796" i="1"/>
  <c r="D799" i="1"/>
  <c r="D802" i="1"/>
  <c r="D805" i="1"/>
  <c r="D808" i="1"/>
  <c r="D811" i="1"/>
  <c r="D814" i="1"/>
  <c r="D817" i="1"/>
  <c r="D820" i="1"/>
  <c r="D823" i="1"/>
  <c r="D826" i="1"/>
  <c r="D829" i="1"/>
  <c r="D832" i="1"/>
  <c r="D835" i="1"/>
  <c r="D838" i="1"/>
  <c r="D841" i="1"/>
  <c r="D844" i="1"/>
  <c r="D847" i="1"/>
  <c r="D850" i="1"/>
  <c r="D853" i="1"/>
  <c r="D856" i="1"/>
  <c r="D859" i="1"/>
  <c r="D862" i="1"/>
  <c r="D865" i="1"/>
  <c r="D868" i="1"/>
  <c r="D871" i="1"/>
  <c r="D874" i="1"/>
  <c r="D877" i="1"/>
  <c r="D880" i="1"/>
  <c r="D883" i="1"/>
  <c r="D886" i="1"/>
  <c r="D889" i="1"/>
  <c r="D892" i="1"/>
  <c r="D766" i="1"/>
  <c r="D763" i="1"/>
  <c r="D746" i="1"/>
  <c r="D747" i="1"/>
  <c r="D748" i="1"/>
  <c r="D749" i="1"/>
  <c r="D750" i="1"/>
  <c r="D751" i="1"/>
  <c r="D752" i="1"/>
  <c r="D753" i="1"/>
  <c r="D754" i="1"/>
  <c r="D755" i="1"/>
  <c r="D756" i="1"/>
  <c r="D757" i="1"/>
  <c r="D758" i="1"/>
  <c r="D759" i="1"/>
  <c r="D760" i="1"/>
  <c r="D745" i="1"/>
  <c r="L727" i="1"/>
  <c r="L724" i="1"/>
  <c r="L721" i="1"/>
  <c r="L718" i="1"/>
  <c r="L715" i="1"/>
  <c r="L712" i="1"/>
  <c r="L709" i="1"/>
  <c r="L706" i="1"/>
  <c r="L703" i="1"/>
  <c r="L700" i="1"/>
  <c r="L697" i="1"/>
  <c r="L694" i="1"/>
  <c r="L691" i="1"/>
  <c r="L688" i="1"/>
  <c r="L685" i="1"/>
  <c r="L682" i="1"/>
  <c r="L679" i="1"/>
  <c r="L676" i="1"/>
  <c r="L673" i="1"/>
  <c r="L670" i="1"/>
  <c r="L667" i="1"/>
  <c r="L664" i="1"/>
  <c r="L661" i="1"/>
  <c r="L658" i="1"/>
  <c r="L655" i="1"/>
  <c r="L652" i="1"/>
  <c r="L649" i="1"/>
  <c r="L646" i="1"/>
  <c r="L643" i="1"/>
  <c r="L640" i="1"/>
  <c r="L637" i="1"/>
  <c r="L634" i="1"/>
  <c r="L631" i="1"/>
  <c r="L628" i="1"/>
  <c r="L625" i="1"/>
  <c r="L622" i="1"/>
  <c r="L619" i="1"/>
  <c r="L616" i="1"/>
  <c r="L613" i="1"/>
  <c r="L610" i="1"/>
  <c r="L607" i="1"/>
  <c r="L604" i="1"/>
  <c r="L601" i="1"/>
  <c r="L598" i="1"/>
  <c r="L595" i="1"/>
  <c r="L594" i="1"/>
  <c r="L593" i="1"/>
  <c r="L592" i="1"/>
  <c r="L591" i="1"/>
  <c r="L590" i="1"/>
  <c r="L589" i="1"/>
  <c r="L588" i="1"/>
  <c r="L587" i="1"/>
  <c r="L586" i="1"/>
  <c r="L585" i="1"/>
  <c r="L584" i="1"/>
  <c r="L583" i="1"/>
  <c r="L582" i="1"/>
  <c r="L581" i="1"/>
  <c r="L580" i="1"/>
  <c r="L579" i="1"/>
  <c r="H727" i="1"/>
  <c r="H724" i="1"/>
  <c r="H721" i="1"/>
  <c r="H718" i="1"/>
  <c r="H715" i="1"/>
  <c r="H712" i="1"/>
  <c r="H709" i="1"/>
  <c r="H706" i="1"/>
  <c r="H703" i="1"/>
  <c r="H700" i="1"/>
  <c r="H697" i="1"/>
  <c r="H694" i="1"/>
  <c r="H691" i="1"/>
  <c r="H688" i="1"/>
  <c r="H685" i="1"/>
  <c r="H682" i="1"/>
  <c r="H679" i="1"/>
  <c r="H676" i="1"/>
  <c r="H673" i="1"/>
  <c r="H670" i="1"/>
  <c r="H667" i="1"/>
  <c r="H664" i="1"/>
  <c r="H661" i="1"/>
  <c r="H658" i="1"/>
  <c r="H655" i="1"/>
  <c r="H652" i="1"/>
  <c r="H649" i="1"/>
  <c r="H646" i="1"/>
  <c r="H643" i="1"/>
  <c r="H640" i="1"/>
  <c r="H637" i="1"/>
  <c r="H634" i="1"/>
  <c r="H631" i="1"/>
  <c r="H628" i="1"/>
  <c r="H625" i="1"/>
  <c r="H622" i="1"/>
  <c r="H619" i="1"/>
  <c r="H616" i="1"/>
  <c r="H613" i="1"/>
  <c r="H610" i="1"/>
  <c r="H607" i="1"/>
  <c r="H604" i="1"/>
  <c r="H601" i="1"/>
  <c r="H598" i="1"/>
  <c r="H595" i="1"/>
  <c r="H594" i="1"/>
  <c r="H593" i="1"/>
  <c r="H592" i="1"/>
  <c r="H591" i="1"/>
  <c r="H590" i="1"/>
  <c r="H589" i="1"/>
  <c r="H588" i="1"/>
  <c r="H587" i="1"/>
  <c r="H586" i="1"/>
  <c r="H585" i="1"/>
  <c r="H584" i="1"/>
  <c r="H583" i="1"/>
  <c r="H582" i="1"/>
  <c r="H581" i="1"/>
  <c r="H580" i="1"/>
  <c r="H579" i="1"/>
  <c r="D604" i="1"/>
  <c r="D607" i="1"/>
  <c r="D610" i="1"/>
  <c r="D613" i="1"/>
  <c r="D616" i="1"/>
  <c r="D619" i="1"/>
  <c r="D622" i="1"/>
  <c r="D625" i="1"/>
  <c r="D628" i="1"/>
  <c r="D631" i="1"/>
  <c r="D634" i="1"/>
  <c r="D637" i="1"/>
  <c r="D640" i="1"/>
  <c r="D643" i="1"/>
  <c r="D646" i="1"/>
  <c r="D649" i="1"/>
  <c r="D652" i="1"/>
  <c r="D655" i="1"/>
  <c r="D658" i="1"/>
  <c r="D661" i="1"/>
  <c r="D664" i="1"/>
  <c r="D667" i="1"/>
  <c r="D670" i="1"/>
  <c r="D673" i="1"/>
  <c r="D676" i="1"/>
  <c r="D679" i="1"/>
  <c r="D682" i="1"/>
  <c r="D685" i="1"/>
  <c r="D688" i="1"/>
  <c r="D691" i="1"/>
  <c r="D694" i="1"/>
  <c r="D697" i="1"/>
  <c r="D700" i="1"/>
  <c r="D703" i="1"/>
  <c r="D706" i="1"/>
  <c r="D709" i="1"/>
  <c r="D712" i="1"/>
  <c r="D715" i="1"/>
  <c r="D718" i="1"/>
  <c r="D721" i="1"/>
  <c r="D724" i="1"/>
  <c r="D727" i="1"/>
  <c r="D598" i="1"/>
  <c r="D601" i="1"/>
  <c r="D581" i="1"/>
  <c r="D582" i="1"/>
  <c r="D583" i="1"/>
  <c r="D584" i="1"/>
  <c r="D585" i="1"/>
  <c r="D586" i="1"/>
  <c r="D587" i="1"/>
  <c r="D588" i="1"/>
  <c r="D589" i="1"/>
  <c r="D590" i="1"/>
  <c r="D591" i="1"/>
  <c r="D592" i="1"/>
  <c r="D593" i="1"/>
  <c r="D594" i="1"/>
  <c r="D595" i="1"/>
  <c r="D579" i="1"/>
  <c r="D580" i="1"/>
  <c r="L300" i="1"/>
  <c r="L297" i="1"/>
  <c r="L294" i="1"/>
  <c r="L291" i="1"/>
  <c r="L288" i="1"/>
  <c r="L285" i="1"/>
  <c r="L282" i="1"/>
  <c r="L279" i="1"/>
  <c r="L276" i="1"/>
  <c r="L273" i="1"/>
  <c r="L270" i="1"/>
  <c r="L267" i="1"/>
  <c r="L264" i="1"/>
  <c r="L261" i="1"/>
  <c r="L258" i="1"/>
  <c r="L255" i="1"/>
  <c r="L252" i="1"/>
  <c r="L249" i="1"/>
  <c r="L246" i="1"/>
  <c r="L243" i="1"/>
  <c r="L240" i="1"/>
  <c r="L237" i="1"/>
  <c r="L234" i="1"/>
  <c r="L231" i="1"/>
  <c r="L228" i="1"/>
  <c r="L225" i="1"/>
  <c r="L222" i="1"/>
  <c r="L219" i="1"/>
  <c r="L216" i="1"/>
  <c r="L213" i="1"/>
  <c r="L210" i="1"/>
  <c r="L207" i="1"/>
  <c r="L204" i="1"/>
  <c r="L201" i="1"/>
  <c r="L198" i="1"/>
  <c r="L195" i="1"/>
  <c r="L192" i="1"/>
  <c r="L189" i="1"/>
  <c r="L186" i="1"/>
  <c r="L183" i="1"/>
  <c r="L180" i="1"/>
  <c r="L177" i="1"/>
  <c r="L434" i="1"/>
  <c r="L431" i="1"/>
  <c r="L428" i="1"/>
  <c r="L425" i="1"/>
  <c r="L422" i="1"/>
  <c r="L419" i="1"/>
  <c r="L416" i="1"/>
  <c r="L413" i="1"/>
  <c r="L410" i="1"/>
  <c r="L407" i="1"/>
  <c r="L404" i="1"/>
  <c r="L401" i="1"/>
  <c r="L398" i="1"/>
  <c r="L395" i="1"/>
  <c r="L392" i="1"/>
  <c r="L389" i="1"/>
  <c r="L386" i="1"/>
  <c r="L383" i="1"/>
  <c r="L380" i="1"/>
  <c r="L377" i="1"/>
  <c r="L374" i="1"/>
  <c r="L371" i="1"/>
  <c r="L368" i="1"/>
  <c r="L365" i="1"/>
  <c r="L362" i="1"/>
  <c r="L359" i="1"/>
  <c r="L356" i="1"/>
  <c r="L353" i="1"/>
  <c r="L350" i="1"/>
  <c r="L347" i="1"/>
  <c r="L344" i="1"/>
  <c r="L341" i="1"/>
  <c r="L338" i="1"/>
  <c r="L335" i="1"/>
  <c r="L332" i="1"/>
  <c r="L329" i="1"/>
  <c r="L326" i="1"/>
  <c r="L323" i="1"/>
  <c r="L547" i="1"/>
  <c r="L544" i="1"/>
  <c r="L541" i="1"/>
  <c r="L538" i="1"/>
  <c r="L535" i="1"/>
  <c r="L532" i="1"/>
  <c r="L529" i="1"/>
  <c r="L526" i="1"/>
  <c r="L523" i="1"/>
  <c r="L520" i="1"/>
  <c r="L517" i="1"/>
  <c r="L514" i="1"/>
  <c r="L511" i="1"/>
  <c r="L508" i="1"/>
  <c r="L505" i="1"/>
  <c r="L502" i="1"/>
  <c r="L499" i="1"/>
  <c r="L496" i="1"/>
  <c r="L493" i="1"/>
  <c r="L490" i="1"/>
  <c r="L487" i="1"/>
  <c r="L484" i="1"/>
  <c r="L481" i="1"/>
  <c r="L478" i="1"/>
  <c r="L475" i="1"/>
  <c r="L472" i="1"/>
  <c r="L469" i="1"/>
  <c r="L466" i="1"/>
  <c r="L463" i="1"/>
  <c r="L460" i="1"/>
  <c r="L457" i="1"/>
  <c r="H547" i="1"/>
  <c r="H544" i="1"/>
  <c r="H541" i="1"/>
  <c r="H538" i="1"/>
  <c r="H535" i="1"/>
  <c r="H532" i="1"/>
  <c r="H529" i="1"/>
  <c r="H526" i="1"/>
  <c r="H523" i="1"/>
  <c r="H520" i="1"/>
  <c r="H517" i="1"/>
  <c r="H514" i="1"/>
  <c r="H511" i="1"/>
  <c r="H508" i="1"/>
  <c r="H505" i="1"/>
  <c r="H502" i="1"/>
  <c r="H499" i="1"/>
  <c r="H496" i="1"/>
  <c r="H493" i="1"/>
  <c r="H490" i="1"/>
  <c r="H487" i="1"/>
  <c r="H484" i="1"/>
  <c r="H481" i="1"/>
  <c r="H478" i="1"/>
  <c r="H475" i="1"/>
  <c r="H472" i="1"/>
  <c r="H469" i="1"/>
  <c r="H466" i="1"/>
  <c r="H463" i="1"/>
  <c r="H460" i="1"/>
  <c r="H457" i="1"/>
  <c r="D463" i="1"/>
  <c r="D466" i="1"/>
  <c r="D469" i="1"/>
  <c r="D472" i="1"/>
  <c r="D475" i="1"/>
  <c r="D478" i="1"/>
  <c r="D481" i="1"/>
  <c r="D484" i="1"/>
  <c r="D487" i="1"/>
  <c r="D490" i="1"/>
  <c r="D493" i="1"/>
  <c r="D496" i="1"/>
  <c r="D499" i="1"/>
  <c r="D502" i="1"/>
  <c r="D505" i="1"/>
  <c r="D508" i="1"/>
  <c r="D511" i="1"/>
  <c r="D514" i="1"/>
  <c r="D517" i="1"/>
  <c r="D520" i="1"/>
  <c r="D523" i="1"/>
  <c r="D526" i="1"/>
  <c r="D529" i="1"/>
  <c r="D532" i="1"/>
  <c r="D535" i="1"/>
  <c r="D538" i="1"/>
  <c r="D541" i="1"/>
  <c r="D544" i="1"/>
  <c r="D547" i="1"/>
  <c r="D460" i="1"/>
  <c r="D457" i="1"/>
  <c r="H434" i="1"/>
  <c r="H431" i="1"/>
  <c r="H428" i="1"/>
  <c r="H425" i="1"/>
  <c r="H422" i="1"/>
  <c r="H419" i="1"/>
  <c r="H416" i="1"/>
  <c r="H413" i="1"/>
  <c r="H410" i="1"/>
  <c r="H407" i="1"/>
  <c r="H404" i="1"/>
  <c r="H401" i="1"/>
  <c r="H398" i="1"/>
  <c r="H395" i="1"/>
  <c r="H392" i="1"/>
  <c r="H389" i="1"/>
  <c r="H386" i="1"/>
  <c r="H383" i="1"/>
  <c r="H380" i="1"/>
  <c r="H377" i="1"/>
  <c r="H374" i="1"/>
  <c r="H371" i="1"/>
  <c r="H368" i="1"/>
  <c r="H365" i="1"/>
  <c r="H362" i="1"/>
  <c r="H359" i="1"/>
  <c r="H356" i="1"/>
  <c r="H353" i="1"/>
  <c r="H350" i="1"/>
  <c r="H347" i="1"/>
  <c r="H344" i="1"/>
  <c r="H341" i="1"/>
  <c r="H338" i="1"/>
  <c r="H335" i="1"/>
  <c r="H332" i="1"/>
  <c r="H329" i="1"/>
  <c r="H326" i="1"/>
  <c r="H323" i="1"/>
  <c r="D329" i="1"/>
  <c r="D332" i="1"/>
  <c r="D335" i="1"/>
  <c r="D338" i="1"/>
  <c r="D341" i="1"/>
  <c r="D344" i="1"/>
  <c r="D347" i="1"/>
  <c r="D350" i="1"/>
  <c r="D353" i="1"/>
  <c r="D356" i="1"/>
  <c r="D359" i="1"/>
  <c r="D362" i="1"/>
  <c r="D365" i="1"/>
  <c r="D368" i="1"/>
  <c r="D371" i="1"/>
  <c r="D374" i="1"/>
  <c r="D377" i="1"/>
  <c r="D380" i="1"/>
  <c r="D383" i="1"/>
  <c r="D386" i="1"/>
  <c r="D389" i="1"/>
  <c r="D392" i="1"/>
  <c r="D395" i="1"/>
  <c r="D398" i="1"/>
  <c r="D401" i="1"/>
  <c r="D404" i="1"/>
  <c r="D407" i="1"/>
  <c r="D410" i="1"/>
  <c r="D413" i="1"/>
  <c r="D416" i="1"/>
  <c r="D419" i="1"/>
  <c r="D422" i="1"/>
  <c r="D425" i="1"/>
  <c r="D428" i="1"/>
  <c r="D431" i="1"/>
  <c r="D434" i="1"/>
  <c r="D326" i="1"/>
  <c r="D323" i="1"/>
  <c r="H300" i="1"/>
  <c r="H297" i="1"/>
  <c r="H294" i="1"/>
  <c r="H291" i="1"/>
  <c r="H288" i="1"/>
  <c r="H285" i="1"/>
  <c r="H282" i="1"/>
  <c r="H279" i="1"/>
  <c r="H276" i="1"/>
  <c r="H273" i="1"/>
  <c r="H270" i="1"/>
  <c r="H267" i="1"/>
  <c r="H264" i="1"/>
  <c r="H261" i="1"/>
  <c r="H258" i="1"/>
  <c r="H255" i="1"/>
  <c r="H252" i="1"/>
  <c r="H249" i="1"/>
  <c r="H246" i="1"/>
  <c r="H243" i="1"/>
  <c r="H240" i="1"/>
  <c r="H237" i="1"/>
  <c r="H234" i="1"/>
  <c r="H231" i="1"/>
  <c r="H228" i="1"/>
  <c r="H225" i="1"/>
  <c r="H222" i="1"/>
  <c r="H219" i="1"/>
  <c r="H216" i="1"/>
  <c r="H213" i="1"/>
  <c r="H210" i="1"/>
  <c r="H207" i="1"/>
  <c r="H204" i="1"/>
  <c r="H201" i="1"/>
  <c r="H198" i="1"/>
  <c r="H195" i="1"/>
  <c r="H192" i="1"/>
  <c r="H189" i="1"/>
  <c r="H186" i="1"/>
  <c r="H183" i="1"/>
  <c r="H180" i="1"/>
  <c r="H177" i="1"/>
  <c r="D183" i="1"/>
  <c r="D186" i="1"/>
  <c r="D189" i="1"/>
  <c r="D192" i="1"/>
  <c r="D195" i="1"/>
  <c r="D198" i="1"/>
  <c r="D201" i="1"/>
  <c r="D204" i="1"/>
  <c r="D207" i="1"/>
  <c r="D210" i="1"/>
  <c r="D213" i="1"/>
  <c r="D216" i="1"/>
  <c r="D219" i="1"/>
  <c r="D222" i="1"/>
  <c r="D225" i="1"/>
  <c r="D228" i="1"/>
  <c r="D231" i="1"/>
  <c r="D234" i="1"/>
  <c r="D237" i="1"/>
  <c r="D240" i="1"/>
  <c r="D243" i="1"/>
  <c r="D246" i="1"/>
  <c r="D249" i="1"/>
  <c r="D252" i="1"/>
  <c r="D255" i="1"/>
  <c r="D258" i="1"/>
  <c r="D261" i="1"/>
  <c r="D264" i="1"/>
  <c r="D267" i="1"/>
  <c r="D270" i="1"/>
  <c r="D273" i="1"/>
  <c r="D276" i="1"/>
  <c r="D279" i="1"/>
  <c r="D282" i="1"/>
  <c r="D285" i="1"/>
  <c r="D288" i="1"/>
  <c r="D291" i="1"/>
  <c r="D294" i="1"/>
  <c r="D297" i="1"/>
  <c r="D300" i="1"/>
  <c r="D180" i="1"/>
  <c r="D177" i="1"/>
  <c r="L154" i="1"/>
  <c r="L151" i="1"/>
  <c r="L148" i="1"/>
  <c r="L145" i="1"/>
  <c r="L142" i="1"/>
  <c r="L139" i="1"/>
  <c r="L136" i="1"/>
  <c r="L133" i="1"/>
  <c r="L130" i="1"/>
  <c r="L127" i="1"/>
  <c r="L124" i="1"/>
  <c r="L121" i="1"/>
  <c r="L118" i="1"/>
  <c r="L115" i="1"/>
  <c r="L112" i="1"/>
  <c r="L109" i="1"/>
  <c r="L106" i="1"/>
  <c r="L103" i="1"/>
  <c r="L100" i="1"/>
  <c r="L97" i="1"/>
  <c r="L94" i="1"/>
  <c r="L91" i="1"/>
  <c r="L88" i="1"/>
  <c r="L85" i="1"/>
  <c r="L82" i="1"/>
  <c r="L79" i="1"/>
  <c r="L76" i="1"/>
  <c r="L73" i="1"/>
  <c r="L70" i="1"/>
  <c r="L67" i="1"/>
  <c r="L64" i="1"/>
  <c r="L61" i="1"/>
  <c r="L58" i="1"/>
  <c r="L55" i="1"/>
  <c r="L52" i="1"/>
  <c r="L49" i="1"/>
  <c r="L46" i="1"/>
  <c r="L43" i="1"/>
  <c r="L40" i="1"/>
  <c r="L37" i="1"/>
  <c r="L34" i="1"/>
  <c r="L31" i="1"/>
  <c r="L28" i="1"/>
  <c r="L25" i="1"/>
  <c r="H91" i="1"/>
  <c r="H88" i="1"/>
  <c r="H85" i="1"/>
  <c r="H82" i="1"/>
  <c r="H79" i="1"/>
  <c r="H76" i="1"/>
  <c r="H73" i="1"/>
  <c r="H70" i="1"/>
  <c r="H67" i="1"/>
  <c r="H64" i="1"/>
  <c r="H61" i="1"/>
  <c r="H58" i="1"/>
  <c r="H55" i="1"/>
  <c r="H52" i="1"/>
  <c r="H49" i="1"/>
  <c r="H46" i="1"/>
  <c r="H43" i="1"/>
  <c r="H40" i="1"/>
  <c r="H37" i="1"/>
  <c r="H34" i="1"/>
  <c r="H31" i="1"/>
  <c r="H28" i="1"/>
  <c r="H25" i="1"/>
  <c r="D25" i="1"/>
  <c r="D28" i="1"/>
  <c r="D31" i="1"/>
  <c r="D34" i="1"/>
  <c r="D37" i="1"/>
  <c r="D40" i="1"/>
  <c r="D43" i="1"/>
  <c r="D46" i="1"/>
  <c r="D49" i="1"/>
  <c r="D52" i="1"/>
  <c r="D55" i="1"/>
  <c r="D58" i="1"/>
  <c r="D61" i="1"/>
  <c r="D64" i="1"/>
  <c r="D67" i="1"/>
  <c r="D70" i="1"/>
  <c r="D73" i="1"/>
  <c r="D76" i="1"/>
  <c r="D79" i="1"/>
  <c r="D82" i="1"/>
  <c r="D85" i="1"/>
  <c r="D88" i="1"/>
  <c r="H154" i="1"/>
  <c r="H151" i="1"/>
  <c r="H148" i="1"/>
  <c r="H145" i="1"/>
  <c r="H142" i="1"/>
  <c r="H139" i="1"/>
  <c r="H136" i="1"/>
  <c r="H133" i="1"/>
  <c r="H130" i="1"/>
  <c r="H127" i="1"/>
  <c r="H124" i="1"/>
  <c r="H121" i="1"/>
  <c r="H118" i="1"/>
  <c r="H115" i="1"/>
  <c r="H112" i="1"/>
  <c r="H109" i="1"/>
  <c r="H106" i="1"/>
  <c r="H103" i="1"/>
  <c r="H100" i="1"/>
  <c r="H97" i="1"/>
  <c r="H94" i="1"/>
  <c r="D106" i="1"/>
  <c r="D109" i="1"/>
  <c r="D112" i="1"/>
  <c r="D115" i="1"/>
  <c r="D118" i="1"/>
  <c r="D121" i="1"/>
  <c r="D124" i="1"/>
  <c r="D127" i="1"/>
  <c r="D130" i="1"/>
  <c r="D133" i="1"/>
  <c r="D136" i="1"/>
  <c r="D139" i="1"/>
  <c r="D142" i="1"/>
  <c r="D145" i="1"/>
  <c r="D148" i="1"/>
  <c r="D151" i="1"/>
  <c r="D154" i="1"/>
  <c r="D103" i="1"/>
  <c r="D100" i="1"/>
  <c r="D97" i="1"/>
  <c r="D94" i="1"/>
  <c r="D91" i="1"/>
  <c r="C3" i="2"/>
  <c r="D3" i="2"/>
  <c r="D2" i="2" s="1"/>
  <c r="E3" i="2"/>
  <c r="E2" i="2" s="1"/>
  <c r="F3" i="2"/>
  <c r="G3" i="2"/>
  <c r="G2" i="2" s="1"/>
  <c r="B3" i="2"/>
  <c r="J16" i="2" s="1"/>
  <c r="F14" i="3"/>
  <c r="D14" i="3"/>
  <c r="B14" i="3"/>
  <c r="F8" i="3"/>
  <c r="D8" i="3"/>
  <c r="B8" i="3"/>
  <c r="F7" i="3"/>
  <c r="D7" i="3"/>
  <c r="B7" i="3"/>
  <c r="F6" i="3"/>
  <c r="D6" i="3"/>
  <c r="B6" i="3"/>
  <c r="F5" i="3"/>
  <c r="D5" i="3"/>
  <c r="B5" i="3"/>
  <c r="F4" i="3"/>
  <c r="D4" i="3"/>
  <c r="B4" i="3"/>
  <c r="F3" i="3"/>
  <c r="D3" i="3"/>
  <c r="B3" i="3"/>
  <c r="F2" i="3"/>
  <c r="D2" i="3"/>
  <c r="B2" i="3"/>
  <c r="N319" i="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K8" i="1" l="1"/>
  <c r="K9" i="1" s="1"/>
  <c r="K10" i="1" s="1"/>
  <c r="K11" i="1" s="1"/>
  <c r="K12" i="1" s="1"/>
  <c r="K13" i="1" s="1"/>
  <c r="K14" i="1" s="1"/>
  <c r="K15" i="1" s="1"/>
  <c r="B13" i="3"/>
  <c r="F47" i="2"/>
  <c r="O8" i="1"/>
  <c r="O9" i="1" s="1"/>
  <c r="O10" i="1" s="1"/>
  <c r="O11" i="1" s="1"/>
  <c r="D17" i="2"/>
  <c r="H10" i="2"/>
  <c r="S8" i="1"/>
  <c r="S9" i="1" s="1"/>
  <c r="S10" i="1" s="1"/>
  <c r="S11" i="1" s="1"/>
  <c r="S12" i="1" s="1"/>
  <c r="S13" i="1" s="1"/>
  <c r="S14" i="1" s="1"/>
  <c r="S15" i="1" s="1"/>
  <c r="F2" i="2"/>
  <c r="F12" i="2" s="1"/>
  <c r="J13" i="2"/>
  <c r="C2" i="2"/>
  <c r="C12" i="2" s="1"/>
  <c r="D12" i="2"/>
  <c r="J10" i="2"/>
  <c r="H15" i="2"/>
  <c r="D11" i="2"/>
  <c r="H19" i="2"/>
  <c r="K455" i="1"/>
  <c r="K456" i="1" s="1"/>
  <c r="K457" i="1" s="1"/>
  <c r="K458" i="1" s="1"/>
  <c r="K459" i="1" s="1"/>
  <c r="K460" i="1" s="1"/>
  <c r="K461" i="1" s="1"/>
  <c r="K462" i="1" s="1"/>
  <c r="K463" i="1" s="1"/>
  <c r="K464" i="1" s="1"/>
  <c r="K465" i="1" s="1"/>
  <c r="K466" i="1" s="1"/>
  <c r="K330" i="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D41" i="2"/>
  <c r="D13" i="3"/>
  <c r="J184" i="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18" i="2"/>
  <c r="J6" i="2"/>
  <c r="J19" i="2"/>
  <c r="D20" i="2"/>
  <c r="J20" i="2"/>
  <c r="J14" i="2"/>
  <c r="J9" i="2"/>
  <c r="J12" i="2"/>
  <c r="J7" i="2"/>
  <c r="J8" i="2"/>
  <c r="H17" i="2"/>
  <c r="H12" i="2"/>
  <c r="J11" i="2"/>
  <c r="H20" i="2"/>
  <c r="J15" i="2"/>
  <c r="B2" i="2"/>
  <c r="B19" i="2" s="1"/>
  <c r="H11" i="2"/>
  <c r="J17" i="2"/>
  <c r="G19" i="2"/>
  <c r="G11" i="2"/>
  <c r="G15" i="2"/>
  <c r="H42" i="2"/>
  <c r="O184" i="1"/>
  <c r="O185" i="1" s="1"/>
  <c r="O186" i="1" s="1"/>
  <c r="O187" i="1" s="1"/>
  <c r="O188" i="1" s="1"/>
  <c r="O189" i="1" s="1"/>
  <c r="O190" i="1" s="1"/>
  <c r="O191" i="1" s="1"/>
  <c r="O192" i="1" s="1"/>
  <c r="O193" i="1" s="1"/>
  <c r="O194" i="1" s="1"/>
  <c r="O195" i="1" s="1"/>
  <c r="E15" i="2"/>
  <c r="E12" i="2"/>
  <c r="I41" i="2"/>
  <c r="O330" i="1"/>
  <c r="O331" i="1" s="1"/>
  <c r="O332" i="1" s="1"/>
  <c r="O333" i="1" s="1"/>
  <c r="O334" i="1" s="1"/>
  <c r="O335" i="1" s="1"/>
  <c r="O336" i="1" s="1"/>
  <c r="O337" i="1" s="1"/>
  <c r="O338" i="1" s="1"/>
  <c r="O339" i="1" s="1"/>
  <c r="O340" i="1" s="1"/>
  <c r="O341" i="1" s="1"/>
  <c r="F13" i="3"/>
  <c r="E17" i="2"/>
  <c r="G17" i="2"/>
  <c r="G20" i="2"/>
  <c r="D19" i="2"/>
  <c r="C42" i="2"/>
  <c r="K184" i="1"/>
  <c r="K185" i="1" s="1"/>
  <c r="K186" i="1" s="1"/>
  <c r="K187" i="1" s="1"/>
  <c r="K188" i="1" s="1"/>
  <c r="K189" i="1" s="1"/>
  <c r="K190" i="1" s="1"/>
  <c r="K191" i="1" s="1"/>
  <c r="K192" i="1" s="1"/>
  <c r="K193" i="1" s="1"/>
  <c r="K194" i="1" s="1"/>
  <c r="K195" i="1" s="1"/>
  <c r="E19" i="2"/>
  <c r="E11" i="2"/>
  <c r="G12" i="2"/>
  <c r="D15" i="2"/>
  <c r="E20" i="2"/>
  <c r="B46" i="2" l="1"/>
  <c r="G46" i="2"/>
  <c r="F17" i="2"/>
  <c r="B10" i="2"/>
  <c r="I12" i="2"/>
  <c r="C17" i="2"/>
  <c r="C20" i="2"/>
  <c r="C15" i="2"/>
  <c r="C11" i="2"/>
  <c r="F20" i="2"/>
  <c r="C19" i="2"/>
  <c r="B11" i="2"/>
  <c r="F19" i="2"/>
  <c r="C10" i="2"/>
  <c r="D40" i="2"/>
  <c r="K467" i="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F11" i="2"/>
  <c r="O12" i="1"/>
  <c r="O13" i="1" s="1"/>
  <c r="O14" i="1" s="1"/>
  <c r="O15" i="1" s="1"/>
  <c r="F46" i="2"/>
  <c r="F15" i="2"/>
  <c r="I17" i="2"/>
  <c r="B12" i="2"/>
  <c r="B20" i="2"/>
  <c r="I15" i="2"/>
  <c r="I20" i="2"/>
  <c r="B15" i="2"/>
  <c r="I19" i="2"/>
  <c r="B17" i="2"/>
  <c r="I11" i="2"/>
  <c r="S16" i="1"/>
  <c r="S17" i="1" s="1"/>
  <c r="S18" i="1" s="1"/>
  <c r="S19" i="1" s="1"/>
  <c r="G45" i="2"/>
  <c r="I40" i="2"/>
  <c r="O342" i="1"/>
  <c r="O343" i="1" s="1"/>
  <c r="O344" i="1" s="1"/>
  <c r="O345" i="1" s="1"/>
  <c r="O346" i="1" s="1"/>
  <c r="O347" i="1" s="1"/>
  <c r="O348" i="1" s="1"/>
  <c r="O349" i="1" s="1"/>
  <c r="O350" i="1" s="1"/>
  <c r="O351" i="1" s="1"/>
  <c r="O352" i="1" s="1"/>
  <c r="O353" i="1" s="1"/>
  <c r="K196" i="1"/>
  <c r="K197" i="1" s="1"/>
  <c r="K198" i="1" s="1"/>
  <c r="K199" i="1" s="1"/>
  <c r="K200" i="1" s="1"/>
  <c r="K201" i="1" s="1"/>
  <c r="K202" i="1" s="1"/>
  <c r="K203" i="1" s="1"/>
  <c r="K204" i="1" s="1"/>
  <c r="K205" i="1" s="1"/>
  <c r="K206" i="1" s="1"/>
  <c r="K207" i="1" s="1"/>
  <c r="C41" i="2"/>
  <c r="B45" i="2"/>
  <c r="K16" i="1"/>
  <c r="K17" i="1" s="1"/>
  <c r="K18" i="1" s="1"/>
  <c r="K19" i="1" s="1"/>
  <c r="O196" i="1"/>
  <c r="O197" i="1" s="1"/>
  <c r="O198" i="1" s="1"/>
  <c r="O199" i="1" s="1"/>
  <c r="O200" i="1" s="1"/>
  <c r="O201" i="1" s="1"/>
  <c r="O202" i="1" s="1"/>
  <c r="O203" i="1" s="1"/>
  <c r="O204" i="1" s="1"/>
  <c r="O205" i="1" s="1"/>
  <c r="O206" i="1" s="1"/>
  <c r="O207" i="1" s="1"/>
  <c r="H41" i="2"/>
  <c r="K354" i="1"/>
  <c r="K355" i="1" s="1"/>
  <c r="K356" i="1" s="1"/>
  <c r="K357" i="1" s="1"/>
  <c r="K358" i="1" s="1"/>
  <c r="K359" i="1" s="1"/>
  <c r="K360" i="1" s="1"/>
  <c r="K361" i="1" s="1"/>
  <c r="K362" i="1" s="1"/>
  <c r="K363" i="1" s="1"/>
  <c r="K364" i="1" s="1"/>
  <c r="K365" i="1" s="1"/>
  <c r="D39" i="2"/>
  <c r="O16" i="1" l="1"/>
  <c r="O17" i="1" s="1"/>
  <c r="O18" i="1" s="1"/>
  <c r="O19" i="1" s="1"/>
  <c r="F45" i="2"/>
  <c r="K208" i="1"/>
  <c r="K209" i="1" s="1"/>
  <c r="K210" i="1" s="1"/>
  <c r="K211" i="1" s="1"/>
  <c r="K212" i="1" s="1"/>
  <c r="K213" i="1" s="1"/>
  <c r="K214" i="1" s="1"/>
  <c r="K215" i="1" s="1"/>
  <c r="K216" i="1" s="1"/>
  <c r="K217" i="1" s="1"/>
  <c r="K218" i="1" s="1"/>
  <c r="K219" i="1" s="1"/>
  <c r="C40" i="2"/>
  <c r="O208" i="1"/>
  <c r="O209" i="1" s="1"/>
  <c r="O210" i="1" s="1"/>
  <c r="O211" i="1" s="1"/>
  <c r="O212" i="1" s="1"/>
  <c r="O213" i="1" s="1"/>
  <c r="O214" i="1" s="1"/>
  <c r="O215" i="1" s="1"/>
  <c r="O216" i="1" s="1"/>
  <c r="O217" i="1" s="1"/>
  <c r="O218" i="1" s="1"/>
  <c r="O219" i="1" s="1"/>
  <c r="H40" i="2"/>
  <c r="K366" i="1"/>
  <c r="K367" i="1" s="1"/>
  <c r="K368" i="1" s="1"/>
  <c r="K369" i="1" s="1"/>
  <c r="K370" i="1" s="1"/>
  <c r="K371" i="1" s="1"/>
  <c r="K372" i="1" s="1"/>
  <c r="K373" i="1" s="1"/>
  <c r="K374" i="1" s="1"/>
  <c r="K375" i="1" s="1"/>
  <c r="K376" i="1" s="1"/>
  <c r="K377" i="1" s="1"/>
  <c r="D38" i="2"/>
  <c r="B44" i="2"/>
  <c r="K20" i="1"/>
  <c r="K21" i="1" s="1"/>
  <c r="K22" i="1" s="1"/>
  <c r="K23" i="1" s="1"/>
  <c r="K24" i="1" s="1"/>
  <c r="K25" i="1" s="1"/>
  <c r="K491" i="1"/>
  <c r="K492" i="1" s="1"/>
  <c r="K493" i="1" s="1"/>
  <c r="K494" i="1" s="1"/>
  <c r="K495" i="1" s="1"/>
  <c r="K496" i="1" s="1"/>
  <c r="K497" i="1" s="1"/>
  <c r="K498" i="1" s="1"/>
  <c r="K499" i="1" s="1"/>
  <c r="K500" i="1" s="1"/>
  <c r="K501" i="1" s="1"/>
  <c r="K502" i="1" s="1"/>
  <c r="I39" i="2"/>
  <c r="O354" i="1"/>
  <c r="O355" i="1" s="1"/>
  <c r="O356" i="1" s="1"/>
  <c r="O357" i="1" s="1"/>
  <c r="O358" i="1" s="1"/>
  <c r="O359" i="1" s="1"/>
  <c r="O360" i="1" s="1"/>
  <c r="O361" i="1" s="1"/>
  <c r="O362" i="1" s="1"/>
  <c r="O363" i="1" s="1"/>
  <c r="O364" i="1" s="1"/>
  <c r="O365" i="1" s="1"/>
  <c r="G44" i="2"/>
  <c r="S20" i="1"/>
  <c r="S21" i="1" s="1"/>
  <c r="S22" i="1" s="1"/>
  <c r="S23" i="1" s="1"/>
  <c r="S24" i="1" s="1"/>
  <c r="S25" i="1" s="1"/>
  <c r="O20" i="1" l="1"/>
  <c r="O21" i="1" s="1"/>
  <c r="O22" i="1" s="1"/>
  <c r="O23" i="1" s="1"/>
  <c r="O24" i="1" s="1"/>
  <c r="O25" i="1" s="1"/>
  <c r="F44" i="2"/>
  <c r="K503" i="1"/>
  <c r="K504" i="1" s="1"/>
  <c r="K505" i="1" s="1"/>
  <c r="K506" i="1" s="1"/>
  <c r="K507" i="1" s="1"/>
  <c r="K508" i="1" s="1"/>
  <c r="K509" i="1" s="1"/>
  <c r="K510" i="1" s="1"/>
  <c r="K511" i="1" s="1"/>
  <c r="K512" i="1" s="1"/>
  <c r="K513" i="1" s="1"/>
  <c r="K514" i="1" s="1"/>
  <c r="O366" i="1"/>
  <c r="O367" i="1" s="1"/>
  <c r="O368" i="1" s="1"/>
  <c r="O369" i="1" s="1"/>
  <c r="O370" i="1" s="1"/>
  <c r="O371" i="1" s="1"/>
  <c r="O372" i="1" s="1"/>
  <c r="O373" i="1" s="1"/>
  <c r="O374" i="1" s="1"/>
  <c r="O375" i="1" s="1"/>
  <c r="O376" i="1" s="1"/>
  <c r="O377" i="1" s="1"/>
  <c r="I38" i="2"/>
  <c r="G43" i="2"/>
  <c r="S26" i="1"/>
  <c r="S27" i="1" s="1"/>
  <c r="S28" i="1" s="1"/>
  <c r="S29" i="1" s="1"/>
  <c r="S30" i="1" s="1"/>
  <c r="S31" i="1" s="1"/>
  <c r="S32" i="1" s="1"/>
  <c r="S33" i="1" s="1"/>
  <c r="S34" i="1" s="1"/>
  <c r="S35" i="1" s="1"/>
  <c r="S36" i="1" s="1"/>
  <c r="S37" i="1" s="1"/>
  <c r="K26" i="1"/>
  <c r="K27" i="1" s="1"/>
  <c r="K28" i="1" s="1"/>
  <c r="K29" i="1" s="1"/>
  <c r="K30" i="1" s="1"/>
  <c r="K31" i="1" s="1"/>
  <c r="K32" i="1" s="1"/>
  <c r="K33" i="1" s="1"/>
  <c r="K34" i="1" s="1"/>
  <c r="K35" i="1" s="1"/>
  <c r="K36" i="1" s="1"/>
  <c r="K37" i="1" s="1"/>
  <c r="B43" i="2"/>
  <c r="D37" i="2"/>
  <c r="K378" i="1"/>
  <c r="K379" i="1" s="1"/>
  <c r="K380" i="1" s="1"/>
  <c r="K381" i="1" s="1"/>
  <c r="K382" i="1" s="1"/>
  <c r="K383" i="1" s="1"/>
  <c r="K384" i="1" s="1"/>
  <c r="K385" i="1" s="1"/>
  <c r="K386" i="1" s="1"/>
  <c r="K387" i="1" s="1"/>
  <c r="K388" i="1" s="1"/>
  <c r="K389" i="1" s="1"/>
  <c r="H39" i="2"/>
  <c r="O220" i="1"/>
  <c r="O221" i="1" s="1"/>
  <c r="O222" i="1" s="1"/>
  <c r="O223" i="1" s="1"/>
  <c r="O224" i="1" s="1"/>
  <c r="O225" i="1" s="1"/>
  <c r="O226" i="1" s="1"/>
  <c r="O227" i="1" s="1"/>
  <c r="O228" i="1" s="1"/>
  <c r="O229" i="1" s="1"/>
  <c r="O230" i="1" s="1"/>
  <c r="O231" i="1" s="1"/>
  <c r="K220" i="1"/>
  <c r="K221" i="1" s="1"/>
  <c r="K222" i="1" s="1"/>
  <c r="K223" i="1" s="1"/>
  <c r="K224" i="1" s="1"/>
  <c r="K225" i="1" s="1"/>
  <c r="K226" i="1" s="1"/>
  <c r="K227" i="1" s="1"/>
  <c r="K228" i="1" s="1"/>
  <c r="K229" i="1" s="1"/>
  <c r="K230" i="1" s="1"/>
  <c r="K231" i="1" s="1"/>
  <c r="C39" i="2"/>
  <c r="O26" i="1" l="1"/>
  <c r="O27" i="1" s="1"/>
  <c r="O28" i="1" s="1"/>
  <c r="O29" i="1" s="1"/>
  <c r="O30" i="1" s="1"/>
  <c r="O31" i="1" s="1"/>
  <c r="O32" i="1" s="1"/>
  <c r="O33" i="1" s="1"/>
  <c r="O34" i="1" s="1"/>
  <c r="O35" i="1" s="1"/>
  <c r="O36" i="1" s="1"/>
  <c r="O37" i="1" s="1"/>
  <c r="F43" i="2"/>
  <c r="O232" i="1"/>
  <c r="O233" i="1" s="1"/>
  <c r="O234" i="1" s="1"/>
  <c r="O235" i="1" s="1"/>
  <c r="O236" i="1" s="1"/>
  <c r="O237" i="1" s="1"/>
  <c r="O238" i="1" s="1"/>
  <c r="O239" i="1" s="1"/>
  <c r="O240" i="1" s="1"/>
  <c r="O241" i="1" s="1"/>
  <c r="O242" i="1" s="1"/>
  <c r="O243" i="1" s="1"/>
  <c r="H38" i="2"/>
  <c r="B42" i="2"/>
  <c r="K38" i="1"/>
  <c r="K39" i="1" s="1"/>
  <c r="K40" i="1" s="1"/>
  <c r="K41" i="1" s="1"/>
  <c r="K42" i="1" s="1"/>
  <c r="K43" i="1" s="1"/>
  <c r="K44" i="1" s="1"/>
  <c r="K45" i="1" s="1"/>
  <c r="K46" i="1" s="1"/>
  <c r="K47" i="1" s="1"/>
  <c r="K48" i="1" s="1"/>
  <c r="K49" i="1" s="1"/>
  <c r="K232" i="1"/>
  <c r="K233" i="1" s="1"/>
  <c r="K234" i="1" s="1"/>
  <c r="K235" i="1" s="1"/>
  <c r="K236" i="1" s="1"/>
  <c r="K237" i="1" s="1"/>
  <c r="K238" i="1" s="1"/>
  <c r="K239" i="1" s="1"/>
  <c r="K240" i="1" s="1"/>
  <c r="K241" i="1" s="1"/>
  <c r="K242" i="1" s="1"/>
  <c r="K243" i="1" s="1"/>
  <c r="C38" i="2"/>
  <c r="D36" i="2"/>
  <c r="K390" i="1"/>
  <c r="K391" i="1" s="1"/>
  <c r="K392" i="1" s="1"/>
  <c r="K393" i="1" s="1"/>
  <c r="K394" i="1" s="1"/>
  <c r="K395" i="1" s="1"/>
  <c r="K396" i="1" s="1"/>
  <c r="K397" i="1" s="1"/>
  <c r="K398" i="1" s="1"/>
  <c r="K399" i="1" s="1"/>
  <c r="K400" i="1" s="1"/>
  <c r="K401" i="1" s="1"/>
  <c r="S38" i="1"/>
  <c r="S39" i="1" s="1"/>
  <c r="S40" i="1" s="1"/>
  <c r="S41" i="1" s="1"/>
  <c r="S42" i="1" s="1"/>
  <c r="S43" i="1" s="1"/>
  <c r="S44" i="1" s="1"/>
  <c r="S45" i="1" s="1"/>
  <c r="S46" i="1" s="1"/>
  <c r="S47" i="1" s="1"/>
  <c r="S48" i="1" s="1"/>
  <c r="S49" i="1" s="1"/>
  <c r="G42" i="2"/>
  <c r="O378" i="1"/>
  <c r="O379" i="1" s="1"/>
  <c r="O380" i="1" s="1"/>
  <c r="O381" i="1" s="1"/>
  <c r="O382" i="1" s="1"/>
  <c r="O383" i="1" s="1"/>
  <c r="O384" i="1" s="1"/>
  <c r="O385" i="1" s="1"/>
  <c r="O386" i="1" s="1"/>
  <c r="O387" i="1" s="1"/>
  <c r="O388" i="1" s="1"/>
  <c r="O389" i="1" s="1"/>
  <c r="I37" i="2"/>
  <c r="K515" i="1"/>
  <c r="K516" i="1" s="1"/>
  <c r="K517" i="1" s="1"/>
  <c r="K518" i="1" s="1"/>
  <c r="K519" i="1" s="1"/>
  <c r="K520" i="1" s="1"/>
  <c r="K521" i="1" s="1"/>
  <c r="K522" i="1" s="1"/>
  <c r="K523" i="1" s="1"/>
  <c r="K524" i="1" s="1"/>
  <c r="K525" i="1" s="1"/>
  <c r="K526" i="1" s="1"/>
  <c r="O38" i="1" l="1"/>
  <c r="O39" i="1" s="1"/>
  <c r="O40" i="1" s="1"/>
  <c r="O41" i="1" s="1"/>
  <c r="O42" i="1" s="1"/>
  <c r="O43" i="1" s="1"/>
  <c r="O44" i="1" s="1"/>
  <c r="O45" i="1" s="1"/>
  <c r="O46" i="1" s="1"/>
  <c r="O47" i="1" s="1"/>
  <c r="O48" i="1" s="1"/>
  <c r="O49" i="1" s="1"/>
  <c r="F42" i="2"/>
  <c r="K402" i="1"/>
  <c r="K403" i="1" s="1"/>
  <c r="K404" i="1" s="1"/>
  <c r="K405" i="1" s="1"/>
  <c r="K406" i="1" s="1"/>
  <c r="K407" i="1" s="1"/>
  <c r="K408" i="1" s="1"/>
  <c r="K409" i="1" s="1"/>
  <c r="K410" i="1" s="1"/>
  <c r="K411" i="1" s="1"/>
  <c r="K412" i="1" s="1"/>
  <c r="K413" i="1" s="1"/>
  <c r="D35" i="2"/>
  <c r="B41" i="2"/>
  <c r="K50" i="1"/>
  <c r="K51" i="1" s="1"/>
  <c r="K52" i="1" s="1"/>
  <c r="K53" i="1" s="1"/>
  <c r="K54" i="1" s="1"/>
  <c r="K55" i="1" s="1"/>
  <c r="K56" i="1" s="1"/>
  <c r="K57" i="1" s="1"/>
  <c r="K58" i="1" s="1"/>
  <c r="K59" i="1" s="1"/>
  <c r="K60" i="1" s="1"/>
  <c r="K61" i="1" s="1"/>
  <c r="K527" i="1"/>
  <c r="K528" i="1" s="1"/>
  <c r="K529" i="1" s="1"/>
  <c r="K530" i="1" s="1"/>
  <c r="K531" i="1" s="1"/>
  <c r="K532" i="1" s="1"/>
  <c r="K533" i="1" s="1"/>
  <c r="K534" i="1" s="1"/>
  <c r="K535" i="1" s="1"/>
  <c r="K536" i="1" s="1"/>
  <c r="K537" i="1" s="1"/>
  <c r="K538" i="1" s="1"/>
  <c r="O390" i="1"/>
  <c r="O391" i="1" s="1"/>
  <c r="O392" i="1" s="1"/>
  <c r="O393" i="1" s="1"/>
  <c r="O394" i="1" s="1"/>
  <c r="O395" i="1" s="1"/>
  <c r="O396" i="1" s="1"/>
  <c r="O397" i="1" s="1"/>
  <c r="O398" i="1" s="1"/>
  <c r="O399" i="1" s="1"/>
  <c r="O400" i="1" s="1"/>
  <c r="O401" i="1" s="1"/>
  <c r="I36" i="2"/>
  <c r="G41" i="2"/>
  <c r="S50" i="1"/>
  <c r="S51" i="1" s="1"/>
  <c r="S52" i="1" s="1"/>
  <c r="S53" i="1" s="1"/>
  <c r="S54" i="1" s="1"/>
  <c r="S55" i="1" s="1"/>
  <c r="S56" i="1" s="1"/>
  <c r="S57" i="1" s="1"/>
  <c r="S58" i="1" s="1"/>
  <c r="S59" i="1" s="1"/>
  <c r="S60" i="1" s="1"/>
  <c r="S61" i="1" s="1"/>
  <c r="K244" i="1"/>
  <c r="K245" i="1" s="1"/>
  <c r="K246" i="1" s="1"/>
  <c r="K247" i="1" s="1"/>
  <c r="K248" i="1" s="1"/>
  <c r="K249" i="1" s="1"/>
  <c r="K250" i="1" s="1"/>
  <c r="K251" i="1" s="1"/>
  <c r="K252" i="1" s="1"/>
  <c r="K253" i="1" s="1"/>
  <c r="K254" i="1" s="1"/>
  <c r="K255" i="1" s="1"/>
  <c r="C37" i="2"/>
  <c r="H37" i="2"/>
  <c r="O244" i="1"/>
  <c r="O245" i="1" s="1"/>
  <c r="O246" i="1" s="1"/>
  <c r="O247" i="1" s="1"/>
  <c r="O248" i="1" s="1"/>
  <c r="O249" i="1" s="1"/>
  <c r="O250" i="1" s="1"/>
  <c r="O251" i="1" s="1"/>
  <c r="O252" i="1" s="1"/>
  <c r="O253" i="1" s="1"/>
  <c r="O254" i="1" s="1"/>
  <c r="O255" i="1" s="1"/>
  <c r="O50" i="1" l="1"/>
  <c r="O51" i="1" s="1"/>
  <c r="O52" i="1" s="1"/>
  <c r="O53" i="1" s="1"/>
  <c r="O54" i="1" s="1"/>
  <c r="O55" i="1" s="1"/>
  <c r="O56" i="1" s="1"/>
  <c r="O57" i="1" s="1"/>
  <c r="O58" i="1" s="1"/>
  <c r="O59" i="1" s="1"/>
  <c r="O60" i="1" s="1"/>
  <c r="O61" i="1" s="1"/>
  <c r="F41" i="2"/>
  <c r="O402" i="1"/>
  <c r="O403" i="1" s="1"/>
  <c r="O404" i="1" s="1"/>
  <c r="O405" i="1" s="1"/>
  <c r="O406" i="1" s="1"/>
  <c r="O407" i="1" s="1"/>
  <c r="O408" i="1" s="1"/>
  <c r="O409" i="1" s="1"/>
  <c r="O410" i="1" s="1"/>
  <c r="O411" i="1" s="1"/>
  <c r="O412" i="1" s="1"/>
  <c r="O413" i="1" s="1"/>
  <c r="I35" i="2"/>
  <c r="K256" i="1"/>
  <c r="K257" i="1" s="1"/>
  <c r="K258" i="1" s="1"/>
  <c r="K259" i="1" s="1"/>
  <c r="K260" i="1" s="1"/>
  <c r="K261" i="1" s="1"/>
  <c r="K262" i="1" s="1"/>
  <c r="K263" i="1" s="1"/>
  <c r="K264" i="1" s="1"/>
  <c r="K265" i="1" s="1"/>
  <c r="K266" i="1" s="1"/>
  <c r="K267" i="1" s="1"/>
  <c r="C36" i="2"/>
  <c r="K539" i="1"/>
  <c r="K540" i="1" s="1"/>
  <c r="K541" i="1" s="1"/>
  <c r="K542" i="1" s="1"/>
  <c r="K543" i="1" s="1"/>
  <c r="K544" i="1" s="1"/>
  <c r="K545" i="1" s="1"/>
  <c r="K546" i="1" s="1"/>
  <c r="K547" i="1" s="1"/>
  <c r="K548" i="1" s="1"/>
  <c r="K549" i="1" s="1"/>
  <c r="K550" i="1" s="1"/>
  <c r="G40" i="2"/>
  <c r="S62" i="1"/>
  <c r="S63" i="1" s="1"/>
  <c r="S64" i="1" s="1"/>
  <c r="S65" i="1" s="1"/>
  <c r="S66" i="1" s="1"/>
  <c r="S67" i="1" s="1"/>
  <c r="S68" i="1" s="1"/>
  <c r="S69" i="1" s="1"/>
  <c r="S70" i="1" s="1"/>
  <c r="S71" i="1" s="1"/>
  <c r="S72" i="1" s="1"/>
  <c r="S73" i="1" s="1"/>
  <c r="O256" i="1"/>
  <c r="O257" i="1" s="1"/>
  <c r="O258" i="1" s="1"/>
  <c r="O259" i="1" s="1"/>
  <c r="O260" i="1" s="1"/>
  <c r="O261" i="1" s="1"/>
  <c r="O262" i="1" s="1"/>
  <c r="O263" i="1" s="1"/>
  <c r="O264" i="1" s="1"/>
  <c r="O265" i="1" s="1"/>
  <c r="O266" i="1" s="1"/>
  <c r="O267" i="1" s="1"/>
  <c r="H36" i="2"/>
  <c r="B40" i="2"/>
  <c r="K62" i="1"/>
  <c r="K63" i="1" s="1"/>
  <c r="K64" i="1" s="1"/>
  <c r="K65" i="1" s="1"/>
  <c r="K66" i="1" s="1"/>
  <c r="K67" i="1" s="1"/>
  <c r="K68" i="1" s="1"/>
  <c r="K69" i="1" s="1"/>
  <c r="K70" i="1" s="1"/>
  <c r="K71" i="1" s="1"/>
  <c r="K72" i="1" s="1"/>
  <c r="K73" i="1" s="1"/>
  <c r="D34" i="2"/>
  <c r="K414" i="1"/>
  <c r="K415" i="1" s="1"/>
  <c r="K416" i="1" s="1"/>
  <c r="K417" i="1" s="1"/>
  <c r="K418" i="1" s="1"/>
  <c r="K419" i="1" s="1"/>
  <c r="K420" i="1" s="1"/>
  <c r="K421" i="1" s="1"/>
  <c r="K422" i="1" s="1"/>
  <c r="K423" i="1" s="1"/>
  <c r="K424" i="1" s="1"/>
  <c r="K425" i="1" s="1"/>
  <c r="F40" i="2" l="1"/>
  <c r="O62" i="1"/>
  <c r="O63" i="1" s="1"/>
  <c r="O64" i="1" s="1"/>
  <c r="O65" i="1" s="1"/>
  <c r="O66" i="1" s="1"/>
  <c r="O67" i="1" s="1"/>
  <c r="O68" i="1" s="1"/>
  <c r="O69" i="1" s="1"/>
  <c r="O70" i="1" s="1"/>
  <c r="O71" i="1" s="1"/>
  <c r="O72" i="1" s="1"/>
  <c r="O73" i="1" s="1"/>
  <c r="H35" i="2"/>
  <c r="O268" i="1"/>
  <c r="O269" i="1" s="1"/>
  <c r="O270" i="1" s="1"/>
  <c r="O271" i="1" s="1"/>
  <c r="O272" i="1" s="1"/>
  <c r="O273" i="1" s="1"/>
  <c r="O274" i="1" s="1"/>
  <c r="O275" i="1" s="1"/>
  <c r="O276" i="1" s="1"/>
  <c r="O277" i="1" s="1"/>
  <c r="O278" i="1" s="1"/>
  <c r="O279" i="1" s="1"/>
  <c r="G39" i="2"/>
  <c r="S74" i="1"/>
  <c r="S75" i="1" s="1"/>
  <c r="S76" i="1" s="1"/>
  <c r="S77" i="1" s="1"/>
  <c r="S78" i="1" s="1"/>
  <c r="S79" i="1" s="1"/>
  <c r="S80" i="1" s="1"/>
  <c r="S81" i="1" s="1"/>
  <c r="S82" i="1" s="1"/>
  <c r="S83" i="1" s="1"/>
  <c r="S84" i="1" s="1"/>
  <c r="S85" i="1" s="1"/>
  <c r="K551" i="1"/>
  <c r="K552" i="1" s="1"/>
  <c r="K553" i="1" s="1"/>
  <c r="K554" i="1" s="1"/>
  <c r="K555" i="1" s="1"/>
  <c r="K556" i="1" s="1"/>
  <c r="K557" i="1" s="1"/>
  <c r="K558" i="1" s="1"/>
  <c r="K559" i="1" s="1"/>
  <c r="K74" i="1"/>
  <c r="K75" i="1" s="1"/>
  <c r="K76" i="1" s="1"/>
  <c r="K77" i="1" s="1"/>
  <c r="K78" i="1" s="1"/>
  <c r="K79" i="1" s="1"/>
  <c r="K80" i="1" s="1"/>
  <c r="K81" i="1" s="1"/>
  <c r="K82" i="1" s="1"/>
  <c r="K83" i="1" s="1"/>
  <c r="K84" i="1" s="1"/>
  <c r="K85" i="1" s="1"/>
  <c r="B39" i="2"/>
  <c r="D33" i="2"/>
  <c r="K426" i="1"/>
  <c r="K427" i="1" s="1"/>
  <c r="K428" i="1" s="1"/>
  <c r="K429" i="1" s="1"/>
  <c r="K430" i="1" s="1"/>
  <c r="K431" i="1" s="1"/>
  <c r="K432" i="1" s="1"/>
  <c r="K433" i="1" s="1"/>
  <c r="K434" i="1" s="1"/>
  <c r="K435" i="1" s="1"/>
  <c r="K436" i="1" s="1"/>
  <c r="K437" i="1" s="1"/>
  <c r="K268" i="1"/>
  <c r="K269" i="1" s="1"/>
  <c r="K270" i="1" s="1"/>
  <c r="K271" i="1" s="1"/>
  <c r="K272" i="1" s="1"/>
  <c r="K273" i="1" s="1"/>
  <c r="K274" i="1" s="1"/>
  <c r="K275" i="1" s="1"/>
  <c r="K276" i="1" s="1"/>
  <c r="K277" i="1" s="1"/>
  <c r="K278" i="1" s="1"/>
  <c r="K279" i="1" s="1"/>
  <c r="C35" i="2"/>
  <c r="I34" i="2"/>
  <c r="O414" i="1"/>
  <c r="O415" i="1" s="1"/>
  <c r="O416" i="1" s="1"/>
  <c r="O417" i="1" s="1"/>
  <c r="O418" i="1" s="1"/>
  <c r="O419" i="1" s="1"/>
  <c r="O420" i="1" s="1"/>
  <c r="O421" i="1" s="1"/>
  <c r="O422" i="1" s="1"/>
  <c r="O423" i="1" s="1"/>
  <c r="O424" i="1" s="1"/>
  <c r="O425" i="1" s="1"/>
  <c r="H9" i="2" l="1"/>
  <c r="I9" i="2" s="1"/>
  <c r="E9" i="2"/>
  <c r="D9" i="2"/>
  <c r="B9" i="2"/>
  <c r="C9" i="2"/>
  <c r="F9" i="2"/>
  <c r="F39" i="2"/>
  <c r="O74" i="1"/>
  <c r="O75" i="1" s="1"/>
  <c r="O76" i="1" s="1"/>
  <c r="O77" i="1" s="1"/>
  <c r="O78" i="1" s="1"/>
  <c r="O79" i="1" s="1"/>
  <c r="O80" i="1" s="1"/>
  <c r="O81" i="1" s="1"/>
  <c r="O82" i="1" s="1"/>
  <c r="O83" i="1" s="1"/>
  <c r="O84" i="1" s="1"/>
  <c r="O85" i="1" s="1"/>
  <c r="O426" i="1"/>
  <c r="O427" i="1" s="1"/>
  <c r="O428" i="1" s="1"/>
  <c r="O429" i="1" s="1"/>
  <c r="O430" i="1" s="1"/>
  <c r="O431" i="1" s="1"/>
  <c r="O432" i="1" s="1"/>
  <c r="O433" i="1" s="1"/>
  <c r="O434" i="1" s="1"/>
  <c r="O435" i="1" s="1"/>
  <c r="O436" i="1" s="1"/>
  <c r="O437" i="1" s="1"/>
  <c r="I33" i="2"/>
  <c r="C34" i="2"/>
  <c r="K280" i="1"/>
  <c r="K281" i="1" s="1"/>
  <c r="K282" i="1" s="1"/>
  <c r="K283" i="1" s="1"/>
  <c r="K284" i="1" s="1"/>
  <c r="K285" i="1" s="1"/>
  <c r="K286" i="1" s="1"/>
  <c r="K287" i="1" s="1"/>
  <c r="K288" i="1" s="1"/>
  <c r="K289" i="1" s="1"/>
  <c r="K290" i="1" s="1"/>
  <c r="K291" i="1" s="1"/>
  <c r="B38" i="2"/>
  <c r="K86" i="1"/>
  <c r="K87" i="1" s="1"/>
  <c r="K88" i="1" s="1"/>
  <c r="K89" i="1" s="1"/>
  <c r="K90" i="1" s="1"/>
  <c r="K91" i="1" s="1"/>
  <c r="K92" i="1" s="1"/>
  <c r="K93" i="1" s="1"/>
  <c r="K94" i="1" s="1"/>
  <c r="K95" i="1" s="1"/>
  <c r="K96" i="1" s="1"/>
  <c r="K97" i="1" s="1"/>
  <c r="S86" i="1"/>
  <c r="S87" i="1" s="1"/>
  <c r="S88" i="1" s="1"/>
  <c r="S89" i="1" s="1"/>
  <c r="S90" i="1" s="1"/>
  <c r="S91" i="1" s="1"/>
  <c r="S92" i="1" s="1"/>
  <c r="S93" i="1" s="1"/>
  <c r="S94" i="1" s="1"/>
  <c r="S95" i="1" s="1"/>
  <c r="S96" i="1" s="1"/>
  <c r="S97" i="1" s="1"/>
  <c r="G38" i="2"/>
  <c r="D32" i="2"/>
  <c r="K438" i="1"/>
  <c r="K439" i="1" s="1"/>
  <c r="K440" i="1" s="1"/>
  <c r="K441" i="1" s="1"/>
  <c r="K442" i="1" s="1"/>
  <c r="K443" i="1" s="1"/>
  <c r="K444" i="1" s="1"/>
  <c r="K445" i="1" s="1"/>
  <c r="K446" i="1" s="1"/>
  <c r="H34" i="2"/>
  <c r="O280" i="1"/>
  <c r="O281" i="1" s="1"/>
  <c r="O282" i="1" s="1"/>
  <c r="O283" i="1" s="1"/>
  <c r="O284" i="1" s="1"/>
  <c r="O285" i="1" s="1"/>
  <c r="O286" i="1" s="1"/>
  <c r="O287" i="1" s="1"/>
  <c r="O288" i="1" s="1"/>
  <c r="O289" i="1" s="1"/>
  <c r="O290" i="1" s="1"/>
  <c r="O291" i="1" s="1"/>
  <c r="F38" i="2" l="1"/>
  <c r="O86" i="1"/>
  <c r="O87" i="1" s="1"/>
  <c r="O88" i="1" s="1"/>
  <c r="O89" i="1" s="1"/>
  <c r="O90" i="1" s="1"/>
  <c r="O91" i="1" s="1"/>
  <c r="O92" i="1" s="1"/>
  <c r="O93" i="1" s="1"/>
  <c r="O94" i="1" s="1"/>
  <c r="O95" i="1" s="1"/>
  <c r="O96" i="1" s="1"/>
  <c r="O97" i="1" s="1"/>
  <c r="B8" i="2"/>
  <c r="H8" i="2"/>
  <c r="I8" i="2" s="1"/>
  <c r="F8" i="2"/>
  <c r="D8" i="2"/>
  <c r="E8" i="2"/>
  <c r="C8" i="2"/>
  <c r="G8" i="2"/>
  <c r="H33" i="2"/>
  <c r="O292" i="1"/>
  <c r="O293" i="1" s="1"/>
  <c r="O294" i="1" s="1"/>
  <c r="O295" i="1" s="1"/>
  <c r="O296" i="1" s="1"/>
  <c r="O297" i="1" s="1"/>
  <c r="O298" i="1" s="1"/>
  <c r="O299" i="1" s="1"/>
  <c r="O300" i="1" s="1"/>
  <c r="O301" i="1" s="1"/>
  <c r="O302" i="1" s="1"/>
  <c r="O303" i="1" s="1"/>
  <c r="C33" i="2"/>
  <c r="K292" i="1"/>
  <c r="K293" i="1" s="1"/>
  <c r="K294" i="1" s="1"/>
  <c r="K295" i="1" s="1"/>
  <c r="K296" i="1" s="1"/>
  <c r="K297" i="1" s="1"/>
  <c r="K298" i="1" s="1"/>
  <c r="K299" i="1" s="1"/>
  <c r="K300" i="1" s="1"/>
  <c r="K301" i="1" s="1"/>
  <c r="K302" i="1" s="1"/>
  <c r="K303" i="1" s="1"/>
  <c r="S98" i="1"/>
  <c r="S99" i="1" s="1"/>
  <c r="S100" i="1" s="1"/>
  <c r="S101" i="1" s="1"/>
  <c r="S102" i="1" s="1"/>
  <c r="S103" i="1" s="1"/>
  <c r="S104" i="1" s="1"/>
  <c r="S105" i="1" s="1"/>
  <c r="S106" i="1" s="1"/>
  <c r="S107" i="1" s="1"/>
  <c r="S108" i="1" s="1"/>
  <c r="S109" i="1" s="1"/>
  <c r="G37" i="2"/>
  <c r="B37" i="2"/>
  <c r="K98" i="1"/>
  <c r="K99" i="1" s="1"/>
  <c r="K100" i="1" s="1"/>
  <c r="K101" i="1" s="1"/>
  <c r="K102" i="1" s="1"/>
  <c r="K103" i="1" s="1"/>
  <c r="K104" i="1" s="1"/>
  <c r="K105" i="1" s="1"/>
  <c r="K106" i="1" s="1"/>
  <c r="K107" i="1" s="1"/>
  <c r="K108" i="1" s="1"/>
  <c r="K109" i="1" s="1"/>
  <c r="I32" i="2"/>
  <c r="O438" i="1"/>
  <c r="O439" i="1" s="1"/>
  <c r="O440" i="1" s="1"/>
  <c r="O441" i="1" s="1"/>
  <c r="O442" i="1" s="1"/>
  <c r="O443" i="1" s="1"/>
  <c r="O444" i="1" s="1"/>
  <c r="O445" i="1" s="1"/>
  <c r="O446" i="1" s="1"/>
  <c r="F37" i="2" l="1"/>
  <c r="O98" i="1"/>
  <c r="O99" i="1" s="1"/>
  <c r="O100" i="1" s="1"/>
  <c r="O101" i="1" s="1"/>
  <c r="O102" i="1" s="1"/>
  <c r="O103" i="1" s="1"/>
  <c r="O104" i="1" s="1"/>
  <c r="O105" i="1" s="1"/>
  <c r="O106" i="1" s="1"/>
  <c r="O107" i="1" s="1"/>
  <c r="O108" i="1" s="1"/>
  <c r="O109" i="1" s="1"/>
  <c r="H32" i="2"/>
  <c r="O304" i="1"/>
  <c r="O305" i="1" s="1"/>
  <c r="O306" i="1" s="1"/>
  <c r="O307" i="1" s="1"/>
  <c r="O308" i="1" s="1"/>
  <c r="O309" i="1" s="1"/>
  <c r="O310" i="1" s="1"/>
  <c r="O311" i="1" s="1"/>
  <c r="O312" i="1" s="1"/>
  <c r="S110" i="1"/>
  <c r="S111" i="1" s="1"/>
  <c r="S112" i="1" s="1"/>
  <c r="S113" i="1" s="1"/>
  <c r="S114" i="1" s="1"/>
  <c r="S115" i="1" s="1"/>
  <c r="S116" i="1" s="1"/>
  <c r="S117" i="1" s="1"/>
  <c r="S118" i="1" s="1"/>
  <c r="S119" i="1" s="1"/>
  <c r="S120" i="1" s="1"/>
  <c r="S121" i="1" s="1"/>
  <c r="G36" i="2"/>
  <c r="C32" i="2"/>
  <c r="K304" i="1"/>
  <c r="K305" i="1" s="1"/>
  <c r="K306" i="1" s="1"/>
  <c r="K307" i="1" s="1"/>
  <c r="K308" i="1" s="1"/>
  <c r="K309" i="1" s="1"/>
  <c r="K310" i="1" s="1"/>
  <c r="K311" i="1" s="1"/>
  <c r="K312" i="1" s="1"/>
  <c r="G18" i="2"/>
  <c r="D18" i="2"/>
  <c r="C18" i="2"/>
  <c r="H18" i="2"/>
  <c r="I18" i="2" s="1"/>
  <c r="B18" i="2"/>
  <c r="E18" i="2"/>
  <c r="F18" i="2"/>
  <c r="B36" i="2"/>
  <c r="K110" i="1"/>
  <c r="K111" i="1" s="1"/>
  <c r="K112" i="1" s="1"/>
  <c r="K113" i="1" s="1"/>
  <c r="K114" i="1" s="1"/>
  <c r="K115" i="1" s="1"/>
  <c r="K116" i="1" s="1"/>
  <c r="K117" i="1" s="1"/>
  <c r="K118" i="1" s="1"/>
  <c r="K119" i="1" s="1"/>
  <c r="K120" i="1" s="1"/>
  <c r="K121" i="1" s="1"/>
  <c r="O110" i="1" l="1"/>
  <c r="O111" i="1" s="1"/>
  <c r="O112" i="1" s="1"/>
  <c r="O113" i="1" s="1"/>
  <c r="O114" i="1" s="1"/>
  <c r="O115" i="1" s="1"/>
  <c r="O116" i="1" s="1"/>
  <c r="O117" i="1" s="1"/>
  <c r="O118" i="1" s="1"/>
  <c r="O119" i="1" s="1"/>
  <c r="O120" i="1" s="1"/>
  <c r="O121" i="1" s="1"/>
  <c r="F36" i="2"/>
  <c r="B7" i="2"/>
  <c r="D7" i="2"/>
  <c r="H7" i="2"/>
  <c r="I7" i="2" s="1"/>
  <c r="G7" i="2"/>
  <c r="C7" i="2"/>
  <c r="F7" i="2"/>
  <c r="E7" i="2"/>
  <c r="G35" i="2"/>
  <c r="S122" i="1"/>
  <c r="S123" i="1" s="1"/>
  <c r="S124" i="1" s="1"/>
  <c r="S125" i="1" s="1"/>
  <c r="S126" i="1" s="1"/>
  <c r="S127" i="1" s="1"/>
  <c r="S128" i="1" s="1"/>
  <c r="S129" i="1" s="1"/>
  <c r="S130" i="1" s="1"/>
  <c r="S131" i="1" s="1"/>
  <c r="S132" i="1" s="1"/>
  <c r="S133" i="1" s="1"/>
  <c r="B16" i="2"/>
  <c r="C16" i="2"/>
  <c r="H16" i="2"/>
  <c r="I16" i="2" s="1"/>
  <c r="D16" i="2"/>
  <c r="G16" i="2"/>
  <c r="E16" i="2"/>
  <c r="F16" i="2"/>
  <c r="B35" i="2"/>
  <c r="K122" i="1"/>
  <c r="K123" i="1" s="1"/>
  <c r="K124" i="1" s="1"/>
  <c r="K125" i="1" s="1"/>
  <c r="K126" i="1" s="1"/>
  <c r="K127" i="1" s="1"/>
  <c r="K128" i="1" s="1"/>
  <c r="K129" i="1" s="1"/>
  <c r="K130" i="1" s="1"/>
  <c r="K131" i="1" s="1"/>
  <c r="K132" i="1" s="1"/>
  <c r="K133" i="1" s="1"/>
  <c r="O122" i="1" l="1"/>
  <c r="O123" i="1" s="1"/>
  <c r="O124" i="1" s="1"/>
  <c r="O125" i="1" s="1"/>
  <c r="O126" i="1" s="1"/>
  <c r="O127" i="1" s="1"/>
  <c r="O128" i="1" s="1"/>
  <c r="O129" i="1" s="1"/>
  <c r="O130" i="1" s="1"/>
  <c r="O131" i="1" s="1"/>
  <c r="O132" i="1" s="1"/>
  <c r="O133" i="1" s="1"/>
  <c r="F35" i="2"/>
  <c r="G34" i="2"/>
  <c r="S134" i="1"/>
  <c r="S135" i="1" s="1"/>
  <c r="S136" i="1" s="1"/>
  <c r="S137" i="1" s="1"/>
  <c r="S138" i="1" s="1"/>
  <c r="S139" i="1" s="1"/>
  <c r="S140" i="1" s="1"/>
  <c r="S141" i="1" s="1"/>
  <c r="S142" i="1" s="1"/>
  <c r="S143" i="1" s="1"/>
  <c r="S144" i="1" s="1"/>
  <c r="S145" i="1" s="1"/>
  <c r="B34" i="2"/>
  <c r="K134" i="1"/>
  <c r="K135" i="1" s="1"/>
  <c r="K136" i="1" s="1"/>
  <c r="K137" i="1" s="1"/>
  <c r="K138" i="1" s="1"/>
  <c r="K139" i="1" s="1"/>
  <c r="K140" i="1" s="1"/>
  <c r="K141" i="1" s="1"/>
  <c r="K142" i="1" s="1"/>
  <c r="K143" i="1" s="1"/>
  <c r="K144" i="1" s="1"/>
  <c r="K145" i="1" s="1"/>
  <c r="F34" i="2" l="1"/>
  <c r="O134" i="1"/>
  <c r="O135" i="1" s="1"/>
  <c r="O136" i="1" s="1"/>
  <c r="O137" i="1" s="1"/>
  <c r="O138" i="1" s="1"/>
  <c r="O139" i="1" s="1"/>
  <c r="O140" i="1" s="1"/>
  <c r="O141" i="1" s="1"/>
  <c r="O142" i="1" s="1"/>
  <c r="O143" i="1" s="1"/>
  <c r="O144" i="1" s="1"/>
  <c r="O145" i="1" s="1"/>
  <c r="B33" i="2"/>
  <c r="K146" i="1"/>
  <c r="K147" i="1" s="1"/>
  <c r="K148" i="1" s="1"/>
  <c r="K149" i="1" s="1"/>
  <c r="K150" i="1" s="1"/>
  <c r="K151" i="1" s="1"/>
  <c r="K152" i="1" s="1"/>
  <c r="K153" i="1" s="1"/>
  <c r="K154" i="1" s="1"/>
  <c r="K155" i="1" s="1"/>
  <c r="K156" i="1" s="1"/>
  <c r="K157" i="1" s="1"/>
  <c r="S146" i="1"/>
  <c r="S147" i="1" s="1"/>
  <c r="S148" i="1" s="1"/>
  <c r="S149" i="1" s="1"/>
  <c r="S150" i="1" s="1"/>
  <c r="S151" i="1" s="1"/>
  <c r="S152" i="1" s="1"/>
  <c r="S153" i="1" s="1"/>
  <c r="S154" i="1" s="1"/>
  <c r="S155" i="1" s="1"/>
  <c r="S156" i="1" s="1"/>
  <c r="S157" i="1" s="1"/>
  <c r="G33" i="2"/>
  <c r="F33" i="2" l="1"/>
  <c r="O146" i="1"/>
  <c r="O147" i="1" s="1"/>
  <c r="O148" i="1" s="1"/>
  <c r="O149" i="1" s="1"/>
  <c r="O150" i="1" s="1"/>
  <c r="O151" i="1" s="1"/>
  <c r="O152" i="1" s="1"/>
  <c r="O153" i="1" s="1"/>
  <c r="O154" i="1" s="1"/>
  <c r="O155" i="1" s="1"/>
  <c r="O156" i="1" s="1"/>
  <c r="O157" i="1" s="1"/>
  <c r="G32" i="2"/>
  <c r="S158" i="1"/>
  <c r="S159" i="1" s="1"/>
  <c r="S160" i="1" s="1"/>
  <c r="S161" i="1" s="1"/>
  <c r="S162" i="1" s="1"/>
  <c r="S163" i="1" s="1"/>
  <c r="S164" i="1" s="1"/>
  <c r="S165" i="1" s="1"/>
  <c r="S166" i="1" s="1"/>
  <c r="B32" i="2"/>
  <c r="K158" i="1"/>
  <c r="K159" i="1" s="1"/>
  <c r="K160" i="1" s="1"/>
  <c r="K161" i="1" s="1"/>
  <c r="K162" i="1" s="1"/>
  <c r="K163" i="1" s="1"/>
  <c r="K164" i="1" s="1"/>
  <c r="K165" i="1" s="1"/>
  <c r="K166" i="1" s="1"/>
  <c r="O158" i="1" l="1"/>
  <c r="O159" i="1" s="1"/>
  <c r="O160" i="1" s="1"/>
  <c r="F32" i="2"/>
  <c r="B6" i="2"/>
  <c r="H6" i="2"/>
  <c r="I6" i="2" s="1"/>
  <c r="F6" i="2"/>
  <c r="E6" i="2"/>
  <c r="C6" i="2"/>
  <c r="G6" i="2"/>
  <c r="D6" i="2"/>
  <c r="H13" i="2"/>
  <c r="I13" i="2" s="1"/>
  <c r="G13" i="2"/>
  <c r="D13" i="2"/>
  <c r="B13" i="2"/>
  <c r="C13" i="2"/>
  <c r="F13" i="2"/>
  <c r="E13" i="2"/>
  <c r="O161" i="1" l="1"/>
  <c r="O162" i="1" s="1"/>
  <c r="O163" i="1" s="1"/>
  <c r="O164" i="1" s="1"/>
  <c r="O165" i="1" s="1"/>
  <c r="O166" i="1" s="1"/>
  <c r="E14" i="2" l="1"/>
  <c r="H14" i="2"/>
  <c r="I14" i="2" s="1"/>
  <c r="F14" i="2"/>
  <c r="C14" i="2"/>
  <c r="D14" i="2"/>
  <c r="B14" i="2"/>
  <c r="G1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Ryan Adair</author>
  </authors>
  <commentList>
    <comment ref="A164" authorId="0" shapeId="0" xr:uid="{2EC7ADBD-47C9-4251-8535-47769B1D264F}">
      <text>
        <r>
          <rPr>
            <b/>
            <sz val="9"/>
            <color indexed="81"/>
            <rFont val="Tahoma"/>
            <family val="2"/>
          </rPr>
          <t>Ryan Adair:</t>
        </r>
        <r>
          <rPr>
            <sz val="9"/>
            <color indexed="81"/>
            <rFont val="Tahoma"/>
            <family val="2"/>
          </rPr>
          <t xml:space="preserve">
Source: image.png (QDVD composite monthly returns snip), uploaded 2026-10-05. Uploaded file. Covers rows 164-166 (Jul-Sep 2026).</t>
        </r>
      </text>
    </comment>
    <comment ref="A310" authorId="0" shapeId="0" xr:uid="{BFDB0CF7-AD94-4578-AC58-EEAA6EA6EE38}">
      <text>
        <r>
          <rPr>
            <b/>
            <sz val="9"/>
            <color indexed="81"/>
            <rFont val="Tahoma"/>
            <family val="2"/>
          </rPr>
          <t>Ryan Adair:</t>
        </r>
        <r>
          <rPr>
            <sz val="9"/>
            <color indexed="81"/>
            <rFont val="Tahoma"/>
            <family val="2"/>
          </rPr>
          <t xml:space="preserve">
Source: image.png (SMID composite monthly returns snip), uploaded 2026-10-05. Uploaded file. Covers rows 310-312 (Jul-Sep 2026). S&amp;P 400 Aristocrats (col Q) not in snip - pending.</t>
        </r>
      </text>
    </comment>
    <comment ref="A444" authorId="0" shapeId="0" xr:uid="{C920E964-8C88-4247-AD4B-18624FD8F2C8}">
      <text>
        <r>
          <rPr>
            <b/>
            <sz val="9"/>
            <color indexed="81"/>
            <rFont val="Tahoma"/>
            <family val="2"/>
          </rPr>
          <t>Ryan Adair:</t>
        </r>
        <r>
          <rPr>
            <sz val="9"/>
            <color indexed="81"/>
            <rFont val="Tahoma"/>
            <family val="2"/>
          </rPr>
          <t xml:space="preserve">
Source: image.png (DAC composite monthly returns snip), uploaded 2026-10-05. Uploaded file. Covers rows 444-446 (Jul-Sep 2026).</t>
        </r>
      </text>
    </comment>
    <comment ref="A557" authorId="0" shapeId="0" xr:uid="{C0BD7EF5-F61D-4C6B-A0FD-FC95F4964207}">
      <text>
        <r>
          <rPr>
            <b/>
            <sz val="9"/>
            <color indexed="81"/>
            <rFont val="Tahoma"/>
            <family val="2"/>
          </rPr>
          <t>Ryan Adair:</t>
        </r>
        <r>
          <rPr>
            <sz val="9"/>
            <color indexed="81"/>
            <rFont val="Tahoma"/>
            <family val="2"/>
          </rPr>
          <t xml:space="preserve">
Source: image.png (OR composite monthly returns snip), uploaded 2026-10-05. Uploaded file. Covers rows 554-556 (Jul-Sep 2026).</t>
        </r>
      </text>
    </comment>
    <comment ref="A737" authorId="0" shapeId="0" xr:uid="{6841E9DC-B13D-4F5C-92BA-D3A132157F49}">
      <text>
        <r>
          <rPr>
            <b/>
            <sz val="9"/>
            <color indexed="81"/>
            <rFont val="Tahoma"/>
            <family val="2"/>
          </rPr>
          <t>Ryan Adair:</t>
        </r>
        <r>
          <rPr>
            <sz val="9"/>
            <color indexed="81"/>
            <rFont val="Tahoma"/>
            <family val="2"/>
          </rPr>
          <t xml:space="preserve">
Source: image.png (Balanced composite monthly returns snip), uploaded 2026-10-05. Uploaded file. Covers rows 734-736 (Jul-Sep 2026).</t>
        </r>
      </text>
    </comment>
    <comment ref="A902" authorId="0" shapeId="0" xr:uid="{CD021407-C625-4D76-A5FE-AAA74183823B}">
      <text>
        <r>
          <rPr>
            <b/>
            <sz val="9"/>
            <color indexed="81"/>
            <rFont val="Tahoma"/>
            <family val="2"/>
          </rPr>
          <t>Ryan Adair:</t>
        </r>
        <r>
          <rPr>
            <sz val="9"/>
            <color indexed="81"/>
            <rFont val="Tahoma"/>
            <family val="2"/>
          </rPr>
          <t xml:space="preserve">
Source: image.png (Income composite monthly returns snip), uploaded 2026-10-05. Uploaded file. Covers rows 896-898 (Jul-Sep 2026).</t>
        </r>
      </text>
    </comment>
  </commentList>
</comments>
</file>

<file path=xl/sharedStrings.xml><?xml version="1.0" encoding="utf-8"?>
<sst xmlns="http://schemas.openxmlformats.org/spreadsheetml/2006/main" count="189" uniqueCount="98">
  <si>
    <t>Quarter Ending</t>
  </si>
  <si>
    <t>Ending Value</t>
  </si>
  <si>
    <t># of Accounts</t>
  </si>
  <si>
    <t>Net Composite Return</t>
  </si>
  <si>
    <t>Cumulative Gross Return</t>
  </si>
  <si>
    <t>Cumulative Net Return</t>
  </si>
  <si>
    <t>Gross Composite Return</t>
  </si>
  <si>
    <t>S&amp;P 500 Return</t>
  </si>
  <si>
    <t>S&amp;P Cumulative</t>
  </si>
  <si>
    <t>Core Flex Composite</t>
  </si>
  <si>
    <t>Balanced Composite</t>
  </si>
  <si>
    <t>Income Composite</t>
  </si>
  <si>
    <t>Composite Performance</t>
  </si>
  <si>
    <t>Balanced</t>
  </si>
  <si>
    <t>Income</t>
  </si>
  <si>
    <t>S&amp;P 500</t>
  </si>
  <si>
    <t>Barclay's Agg. Bond</t>
  </si>
  <si>
    <t>Composite/Index</t>
  </si>
  <si>
    <t>Balanced Benchmark**</t>
  </si>
  <si>
    <t>**Blended return using 60% S&amp;P 500 and 40% Barclay's Aggregate Bond indices as and average benchmark</t>
  </si>
  <si>
    <t>Since Inception*</t>
  </si>
  <si>
    <r>
      <t xml:space="preserve">Since Inception </t>
    </r>
    <r>
      <rPr>
        <sz val="7"/>
        <rFont val="Avenir LT 45 Book"/>
      </rPr>
      <t>(Annualized)</t>
    </r>
  </si>
  <si>
    <t>Three Year</t>
  </si>
  <si>
    <t>One Year</t>
  </si>
  <si>
    <t>Five Year</t>
  </si>
  <si>
    <t>Month Ending</t>
  </si>
  <si>
    <t>Period Ending</t>
  </si>
  <si>
    <t>Core Dividend (Gross)</t>
  </si>
  <si>
    <t>Core Dividend (Net)</t>
  </si>
  <si>
    <t>Div Opp (Gross)</t>
  </si>
  <si>
    <t>Div Opp (Net)</t>
  </si>
  <si>
    <t>S&amp;P 400</t>
  </si>
  <si>
    <t>S&amp;P Mid Cap 400</t>
  </si>
  <si>
    <t xml:space="preserve">*Composite performance presented based on the composite of actual client account performance gross of management fees. Martin Capital Partners, LLC was formed in June of 2010, and inception of strategy performance aggregation began June 30, 2010. The Income Composite's inception date is September 30,2010, as is Barclay's Agg Bond index. The Dividend Opportunity Composite's inception date is 12/31/2014, as is the S&amp;P Mid Cap 400 index.. The Dividend All-Cap Composite's inception date is 12/31/2015. The Oregon Composite's inception date is 9/30/2017. Past performance provides no indication of future results.
</t>
  </si>
  <si>
    <t>YTD</t>
  </si>
  <si>
    <t>Russell 3000</t>
  </si>
  <si>
    <t>S&amp;P 400 Aristocrats</t>
  </si>
  <si>
    <t>Dow Jones Select Dvd</t>
  </si>
  <si>
    <t>Ten Year</t>
  </si>
  <si>
    <t>Inception</t>
  </si>
  <si>
    <t xml:space="preserve">*Composite performance presented based on the composite of actual client account performance gross of management fees. Martin Capital Partners, LLC was formed in June of 2010, and inception of strategy performance aggregation began June 30, 2010. The Dividend Opportunity Composite's inception date is 12/31/2014, as is the S&amp;P Mid Cap 400 index.. The Dividend All-Cap Composite's inception date is 12/31/2015, as is the Russell 3000 index. The Oregon Composite's inception date is 9/30/2017. Past performance provides no indication of future results.
</t>
  </si>
  <si>
    <t>Composite Performance - Annual Returns</t>
  </si>
  <si>
    <t>Calendar Year</t>
  </si>
  <si>
    <t>DAC Composite</t>
  </si>
  <si>
    <t>SMID Composite</t>
  </si>
  <si>
    <t>S&amp;P 500 High Dividend</t>
  </si>
  <si>
    <t>Oregon Dividend Strategy</t>
  </si>
  <si>
    <t>Quality All-Cap Dividend Strategy</t>
  </si>
  <si>
    <t>Quality SMID Dividend Strategy</t>
  </si>
  <si>
    <t>Quality Dividend Strategy</t>
  </si>
  <si>
    <t>Incept Years</t>
  </si>
  <si>
    <t>QDVD Composite</t>
  </si>
  <si>
    <t>Gross Quarterly Return</t>
  </si>
  <si>
    <t>Gross Monthly Return</t>
  </si>
  <si>
    <t>Net Monthly Return</t>
  </si>
  <si>
    <t>Net Quarterly Return</t>
  </si>
  <si>
    <t>S&amp;P 500 Monthly Return</t>
  </si>
  <si>
    <t>S&amp;P 500 Quarterly Return</t>
  </si>
  <si>
    <t>Value</t>
  </si>
  <si>
    <t>Cumulative Net Value</t>
  </si>
  <si>
    <t>Cumulative Gross Value</t>
  </si>
  <si>
    <t>Russell 3000 Quarterly Return</t>
  </si>
  <si>
    <t>Russell 3000 Monthly Return</t>
  </si>
  <si>
    <t>S&amp;P 400 Quarterly Return</t>
  </si>
  <si>
    <t>S&amp;P 400 Monthly Return</t>
  </si>
  <si>
    <t>OR Composite</t>
  </si>
  <si>
    <t>Blended Cumulative Value</t>
  </si>
  <si>
    <t>Blended Cumulative Return</t>
  </si>
  <si>
    <t>Blended Monthly Return</t>
  </si>
  <si>
    <t>Blended Quarterly Return</t>
  </si>
  <si>
    <t>S&amp;P 500 Cumulative Value</t>
  </si>
  <si>
    <t>S&amp;P 500 Cumulative Return</t>
  </si>
  <si>
    <t>Russell 3000 Cumulative Value</t>
  </si>
  <si>
    <t>Russell 3000 Cumulative Return</t>
  </si>
  <si>
    <t>S&amp;P 400 Cumulative Value</t>
  </si>
  <si>
    <t>S&amp;P 400 Cumulative Return</t>
  </si>
  <si>
    <t>Barclay's Aggregate Quarterly Return</t>
  </si>
  <si>
    <t>Barclay's Aggregate Monthly Return</t>
  </si>
  <si>
    <t>Barclay's Aggregate Cumulative Return</t>
  </si>
  <si>
    <t>Barclay's Aggregate Cumulative Value</t>
  </si>
  <si>
    <t>Quarter</t>
  </si>
  <si>
    <t>S&amp;P 500 HD Quarterly Return</t>
  </si>
  <si>
    <t>S&amp;P 500 HD Monthly Return</t>
  </si>
  <si>
    <t>S&amp;P 500 HD Cumulative Return</t>
  </si>
  <si>
    <t>S&amp;P 500 HD Cumulative Value</t>
  </si>
  <si>
    <t>S&amp;P 400 Aristocrats Quarterly Return</t>
  </si>
  <si>
    <t>S&amp;P 400 Aristocrats Monthly Return</t>
  </si>
  <si>
    <t>S&amp;P 400 Aristocrats Cumulative Return</t>
  </si>
  <si>
    <t>S&amp;P 400 Aristocrats Cumulative Value</t>
  </si>
  <si>
    <t>Dow Jones Select Dvd Quarterly Return</t>
  </si>
  <si>
    <t>Dow Jones Select Dvd Monthly Return</t>
  </si>
  <si>
    <t>Dow Jones Select Dvd Cumulative Return</t>
  </si>
  <si>
    <t>Dow Jones Select Dvd Cumulative Value</t>
  </si>
  <si>
    <t>As of:</t>
  </si>
  <si>
    <t>-</t>
  </si>
  <si>
    <t>H4sIAAAAAAAEAM2QvU7DMBSF0wZEEDyEdyIr/QmlQxYCAokORalYqqo41hWx6tjBP0jpY/SFwY5SGFgYuYPvtaXz3eMTDIIg+HTlu6/LoTuel8zQ6lbKHVq1DWi0YKUiqo3RCyjNpMjGyTjFE5zgJEa55cYqyARYowiP0dKWnNEnaFdyByITlvNTzy++sdsOu+2xuADFCGd7UnLICa3g98vVSjYL+ADe3e4YNc6G04aOe9a7inJZN0SBih6Jrgq2hyAMosOgaLWBGueSc+h0Gj+AcBvosd+/W7fNtEfA62i97lWFUUy8xajWVCrOyp8Mpv77fwmgnM1IStPr0XwyheRmvtlEwz7u87AfTvzwH616cxdfCnA7mCcCAAA=</t>
  </si>
  <si>
    <t>DCP Composite</t>
  </si>
  <si>
    <t>Dividend Core Plus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</si>
</sst>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
    <numFmt numFmtId="165" formatCode="_(* #,##0.0000_);_(* \(#,##0.0000\);_(* &quot;-&quot;??_);_(@_)"/>
    <numFmt numFmtId="166" formatCode="0.00%\*"/>
  </numFmts>
  <fonts count="12" x14ac:knownFonts="1">
    <font>
      <sz val="10"/>
      <name val="Arial"/>
    </font>
    <font>
      <sz val="10"/>
      <name val="Arial"/>
      <family val="2"/>
    </font>
    <font>
      <sz val="8"/>
      <name val="Arial"/>
      <family val="2"/>
    </font>
    <font>
      <sz val="10"/>
      <name val="Avenir LT 45 Book"/>
    </font>
    <font>
      <i/>
      <sz val="7"/>
      <name val="Avenir LT 45 Book"/>
    </font>
    <font>
      <sz val="9"/>
      <name val="Avenir LT 45 Book"/>
    </font>
    <font>
      <b/>
      <sz val="13"/>
      <name val="Avenir LT 45 Book"/>
    </font>
    <font>
      <b/>
      <u/>
      <sz val="11"/>
      <name val="Avenir LT 45 Book"/>
    </font>
    <font>
      <sz val="7"/>
      <name val="Avenir LT 45 Book"/>
    </font>
    <font>
      <sz val="10"/>
      <name val="Arial"/>
      <family val="2"/>
    </font>
    <font>
      <sz val="9"/>
      <color indexed="81"/>
      <name val="Tahoma"/>
      <family val="2"/>
    </font>
    <font>
      <b/>
      <sz val="9"/>
      <color indexed="81"/>
      <name val="Tahoma"/>
      <family val="2"/>
    </font>
  </fonts>
  <fills count="4">
    <fill>
      <patternFill patternType="none"/>
    </fill>
    <fill>
      <patternFill patternType="gray125"/>
    </fill>
    <fill>
      <patternFill patternType="solid">
        <fgColor indexed="22"/>
        <bgColor indexed="64"/>
      </patternFill>
    </fill>
    <fill>
      <patternFill patternType="solid">
        <fgColor rgb="FFFFFF00"/>
        <bgColor indexed="64"/>
      </patternFill>
    </fill>
  </fills>
  <borders count="5">
    <border>
      <left/>
      <right/>
      <top/>
      <bottom/>
      <diagonal/>
    </border>
    <border>
      <left style="thin">
        <color indexed="22"/>
      </left>
      <right style="thin">
        <color indexed="22"/>
      </right>
      <top style="thin">
        <color indexed="22"/>
      </top>
      <bottom style="thin">
        <color indexed="22"/>
      </bottom>
      <diagonal/>
    </border>
    <border>
      <left/>
      <right style="thin">
        <color indexed="64"/>
      </right>
      <top/>
      <bottom/>
      <diagonal/>
    </border>
    <border>
      <left style="thin">
        <color indexed="22"/>
      </left>
      <right/>
      <top/>
      <bottom/>
      <diagonal/>
    </border>
    <border>
      <left style="thin">
        <color indexed="64"/>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60">
    <xf numFmtId="0" fontId="0" fillId="0" borderId="0" xfId="0"/>
    <xf numFmtId="0" fontId="3" fillId="0" borderId="0" xfId="0" applyFont="1"/>
    <xf numFmtId="14" fontId="3" fillId="0" borderId="0" xfId="0" applyNumberFormat="1" applyFont="1"/>
    <xf numFmtId="43" fontId="3" fillId="0" borderId="0" xfId="1" applyFont="1"/>
    <xf numFmtId="10" fontId="3" fillId="0" borderId="0" xfId="0" applyNumberFormat="1" applyFont="1"/>
    <xf numFmtId="0" fontId="4" fillId="0" borderId="0" xfId="0" applyFont="1"/>
    <xf numFmtId="0" fontId="3" fillId="0" borderId="0" xfId="0" applyFont="1" applyAlignment="1">
      <alignment horizontal="center"/>
    </xf>
    <xf numFmtId="0" fontId="3" fillId="2" borderId="0" xfId="0" applyFont="1" applyFill="1" applyAlignment="1">
      <alignment horizontal="center" wrapText="1"/>
    </xf>
    <xf numFmtId="0" fontId="5" fillId="0" borderId="0" xfId="0" applyFont="1"/>
    <xf numFmtId="164" fontId="5" fillId="0" borderId="0" xfId="2" applyNumberFormat="1" applyFont="1"/>
    <xf numFmtId="0" fontId="6" fillId="0" borderId="0" xfId="0" applyFont="1"/>
    <xf numFmtId="0" fontId="7" fillId="0" borderId="0" xfId="0" applyFont="1"/>
    <xf numFmtId="10" fontId="3" fillId="0" borderId="2" xfId="0" applyNumberFormat="1" applyFont="1" applyBorder="1"/>
    <xf numFmtId="0" fontId="3" fillId="0" borderId="2" xfId="0" applyFont="1" applyBorder="1"/>
    <xf numFmtId="0" fontId="3" fillId="2" borderId="2" xfId="0" applyFont="1" applyFill="1" applyBorder="1" applyAlignment="1">
      <alignment horizontal="center" wrapText="1"/>
    </xf>
    <xf numFmtId="0" fontId="3" fillId="2" borderId="1" xfId="0" applyFont="1" applyFill="1" applyBorder="1" applyAlignment="1">
      <alignment horizontal="center"/>
    </xf>
    <xf numFmtId="0" fontId="3" fillId="2" borderId="1" xfId="0" applyFont="1" applyFill="1" applyBorder="1" applyAlignment="1">
      <alignment horizontal="center" wrapText="1"/>
    </xf>
    <xf numFmtId="10" fontId="3" fillId="0" borderId="1" xfId="0" applyNumberFormat="1" applyFont="1" applyBorder="1" applyAlignment="1">
      <alignment horizontal="center" wrapText="1"/>
    </xf>
    <xf numFmtId="10" fontId="3" fillId="0" borderId="1" xfId="2" applyNumberFormat="1" applyFont="1" applyFill="1" applyBorder="1" applyAlignment="1">
      <alignment horizontal="center" wrapText="1"/>
    </xf>
    <xf numFmtId="0" fontId="3" fillId="0" borderId="1" xfId="0" applyFont="1" applyBorder="1" applyAlignment="1">
      <alignment horizontal="left"/>
    </xf>
    <xf numFmtId="9" fontId="3" fillId="0" borderId="0" xfId="0" applyNumberFormat="1" applyFont="1"/>
    <xf numFmtId="10" fontId="3" fillId="0" borderId="0" xfId="2" applyNumberFormat="1" applyFont="1"/>
    <xf numFmtId="14" fontId="3" fillId="0" borderId="1" xfId="0" applyNumberFormat="1" applyFont="1" applyBorder="1" applyAlignment="1">
      <alignment horizontal="center"/>
    </xf>
    <xf numFmtId="0" fontId="4" fillId="0" borderId="0" xfId="0" applyFont="1" applyAlignment="1">
      <alignment horizontal="center"/>
    </xf>
    <xf numFmtId="0" fontId="0" fillId="0" borderId="0" xfId="0" applyAlignment="1">
      <alignment horizontal="center"/>
    </xf>
    <xf numFmtId="0" fontId="3" fillId="0" borderId="3" xfId="0" applyFont="1" applyBorder="1" applyAlignment="1">
      <alignment horizontal="center" wrapText="1"/>
    </xf>
    <xf numFmtId="10" fontId="3" fillId="0" borderId="3" xfId="0" applyNumberFormat="1" applyFont="1" applyBorder="1" applyAlignment="1">
      <alignment horizontal="center" wrapText="1"/>
    </xf>
    <xf numFmtId="0" fontId="3" fillId="0" borderId="1" xfId="0" applyFont="1" applyBorder="1" applyAlignment="1">
      <alignment horizontal="center"/>
    </xf>
    <xf numFmtId="0" fontId="4" fillId="0" borderId="0" xfId="0" applyFont="1" applyAlignment="1">
      <alignment vertical="top" wrapText="1"/>
    </xf>
    <xf numFmtId="0" fontId="0" fillId="0" borderId="2" xfId="0" applyBorder="1"/>
    <xf numFmtId="0" fontId="6" fillId="0" borderId="0" xfId="0" applyFont="1" applyAlignment="1">
      <alignment horizontal="center"/>
    </xf>
    <xf numFmtId="14" fontId="0" fillId="0" borderId="0" xfId="0" applyNumberFormat="1"/>
    <xf numFmtId="0" fontId="3" fillId="0" borderId="4" xfId="0" applyFont="1" applyBorder="1"/>
    <xf numFmtId="0" fontId="3" fillId="2" borderId="4" xfId="0" applyFont="1" applyFill="1" applyBorder="1" applyAlignment="1">
      <alignment horizontal="center" wrapText="1"/>
    </xf>
    <xf numFmtId="9" fontId="3" fillId="0" borderId="4" xfId="0" applyNumberFormat="1" applyFont="1" applyBorder="1"/>
    <xf numFmtId="10" fontId="3" fillId="0" borderId="4" xfId="0" applyNumberFormat="1" applyFont="1" applyBorder="1"/>
    <xf numFmtId="10" fontId="3" fillId="0" borderId="4" xfId="2" applyNumberFormat="1" applyFont="1" applyBorder="1"/>
    <xf numFmtId="43" fontId="3" fillId="0" borderId="4" xfId="1" applyFont="1" applyBorder="1"/>
    <xf numFmtId="0" fontId="0" fillId="0" borderId="4" xfId="0" applyBorder="1"/>
    <xf numFmtId="165" fontId="3" fillId="0" borderId="4" xfId="1" applyNumberFormat="1" applyFont="1" applyBorder="1"/>
    <xf numFmtId="2" fontId="3" fillId="0" borderId="0" xfId="0" applyNumberFormat="1" applyFont="1"/>
    <xf numFmtId="2" fontId="3" fillId="0" borderId="2" xfId="0" applyNumberFormat="1" applyFont="1" applyBorder="1"/>
    <xf numFmtId="43" fontId="3" fillId="0" borderId="0" xfId="1" applyFont="1" applyAlignment="1">
      <alignment horizontal="center" vertical="center"/>
    </xf>
    <xf numFmtId="14" fontId="0" fillId="0" borderId="0" xfId="0" applyNumberFormat="1" applyAlignment="1">
      <alignment horizontal="center"/>
    </xf>
    <xf numFmtId="10" fontId="3" fillId="0" borderId="4" xfId="1" applyNumberFormat="1" applyFont="1" applyBorder="1"/>
    <xf numFmtId="0" fontId="9" fillId="0" borderId="0" xfId="0" applyFont="1" applyAlignment="1">
      <alignment horizontal="right"/>
    </xf>
    <xf numFmtId="0" fontId="3" fillId="0" borderId="0" xfId="0" applyFont="1" applyAlignment="1">
      <alignment horizontal="center" wrapText="1"/>
    </xf>
    <xf numFmtId="0" fontId="3" fillId="0" borderId="4" xfId="0" applyFont="1" applyBorder="1" applyAlignment="1">
      <alignment horizontal="center" wrapText="1"/>
    </xf>
    <xf numFmtId="44" fontId="3" fillId="0" borderId="0" xfId="0" applyNumberFormat="1" applyFont="1" applyAlignment="1">
      <alignment horizontal="center" wrapText="1"/>
    </xf>
    <xf numFmtId="44" fontId="3" fillId="0" borderId="0" xfId="1" applyNumberFormat="1" applyFont="1"/>
    <xf numFmtId="14" fontId="5" fillId="3" borderId="0" xfId="0" applyNumberFormat="1" applyFont="1" applyFill="1" applyAlignment="1">
      <alignment horizontal="left"/>
    </xf>
    <xf numFmtId="43" fontId="3" fillId="0" borderId="0" xfId="1" applyFont="1" applyBorder="1"/>
    <xf numFmtId="0" fontId="5" fillId="0" borderId="0" xfId="0" applyFont="1" applyAlignment="1">
      <alignment horizontal="right"/>
    </xf>
    <xf numFmtId="14" fontId="3" fillId="0" borderId="0" xfId="0" applyNumberFormat="1" applyFont="1" applyAlignment="1">
      <alignment horizontal="center" wrapText="1"/>
    </xf>
    <xf numFmtId="0" fontId="9" fillId="0" borderId="0" xfId="0" applyFont="1"/>
    <xf numFmtId="166" fontId="3" fillId="0" borderId="1" xfId="0" applyNumberFormat="1" applyFont="1" applyBorder="1" applyAlignment="1">
      <alignment horizontal="center" wrapText="1"/>
    </xf>
    <xf numFmtId="10" fontId="3" fillId="0" borderId="4" xfId="2" applyNumberFormat="1" applyFont="1" applyFill="1" applyBorder="1"/>
    <xf numFmtId="44" fontId="3" fillId="0" borderId="0" xfId="1" applyNumberFormat="1" applyFont="1" applyFill="1"/>
    <xf numFmtId="0" fontId="6" fillId="0" borderId="0" xfId="0" applyFont="1" applyAlignment="1">
      <alignment horizontal="center"/>
    </xf>
    <xf numFmtId="0" fontId="4" fillId="0" borderId="0" xfId="0" applyFont="1" applyAlignment="1">
      <alignment horizontal="justify" vertical="top"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C74E47B-8C56-4508-B700-F072070C6BD5}">
  <we:reference id="29673e3c-d826-4f00-92ee-162334a52b1a" version="1.0.0.8" store="EXCatalog" storeType="EXCatalog"/>
  <we:alternateReferences>
    <we:reference id="WA200009404" version="1.0.0.8" store="en-US" storeType="OMEX"/>
  </we:alternateReferences>
  <we:properties>
    <we:property name="claude.fileId" value="&quot;37c8494c-23bf-4e29-9fb7-5f084e6f178b&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4AB5B-1F62-45EC-AF8B-F12413C7F93F}">
  <dimension ref="A1"/>
  <sheetViews>
    <sheetView workbookViewId="0"/>
  </sheetViews>
  <sheetFormatPr defaultRowHeight="12.75" x14ac:dyDescent="0.2"/>
  <sheetData>
    <row r="1" spans="1:1" x14ac:dyDescent="0.2">
      <c r="A1" t="s">
        <v>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1C1E1-42E2-4E70-A09A-F3D2B2D5E6F5}">
  <sheetPr codeName="Sheet1">
    <pageSetUpPr fitToPage="1"/>
  </sheetPr>
  <dimension ref="A1:S904"/>
  <sheetViews>
    <sheetView view="pageBreakPreview" topLeftCell="A149" zoomScale="85" zoomScaleNormal="100" zoomScaleSheetLayoutView="85" zoomScalePageLayoutView="115" workbookViewId="0">
      <selection activeCell="M164" sqref="M164:M166"/>
    </sheetView>
  </sheetViews>
  <sheetFormatPr defaultRowHeight="12.75" x14ac:dyDescent="0.2"/>
  <cols>
    <col min="1" max="1" width="11.28515625" bestFit="1" customWidth="1"/>
    <col min="2" max="2" width="17" bestFit="1" customWidth="1"/>
    <col min="3" max="3" width="8.5703125" bestFit="1" customWidth="1"/>
    <col min="4" max="4" width="9" style="38" bestFit="1" customWidth="1"/>
    <col min="5" max="5" width="10.5703125" customWidth="1"/>
    <col min="6" max="6" width="10.5703125" bestFit="1" customWidth="1"/>
    <col min="7" max="7" width="11.7109375" customWidth="1"/>
    <col min="8" max="8" width="9" style="38" bestFit="1" customWidth="1"/>
    <col min="9" max="9" width="10.140625" bestFit="1" customWidth="1"/>
    <col min="10" max="10" width="10.5703125" bestFit="1" customWidth="1"/>
    <col min="11" max="11" width="11" style="29" customWidth="1"/>
    <col min="12" max="12" width="18" style="38" customWidth="1"/>
    <col min="13" max="13" width="14.28515625" bestFit="1" customWidth="1"/>
    <col min="14" max="14" width="16.7109375" customWidth="1"/>
    <col min="15" max="15" width="16" bestFit="1" customWidth="1"/>
    <col min="16" max="16" width="16" style="38" customWidth="1"/>
    <col min="17" max="17" width="16" customWidth="1"/>
    <col min="18" max="18" width="16.5703125" customWidth="1"/>
    <col min="19" max="19" width="16" style="29" customWidth="1"/>
  </cols>
  <sheetData>
    <row r="1" spans="1:19" s="8" customFormat="1" ht="17.25" x14ac:dyDescent="0.3">
      <c r="A1" s="10" t="s">
        <v>12</v>
      </c>
      <c r="B1" s="9"/>
      <c r="M1" s="52"/>
    </row>
    <row r="2" spans="1:19" ht="13.5" x14ac:dyDescent="0.25">
      <c r="A2" s="45" t="s">
        <v>93</v>
      </c>
      <c r="B2" s="50">
        <v>46295</v>
      </c>
      <c r="C2" s="1"/>
      <c r="D2" s="1"/>
      <c r="E2" s="1"/>
      <c r="F2" s="1"/>
      <c r="G2" s="1"/>
      <c r="H2" s="1"/>
      <c r="I2" s="1"/>
      <c r="J2" s="1"/>
      <c r="K2" s="1"/>
      <c r="L2"/>
      <c r="M2" s="1"/>
      <c r="N2" s="1"/>
      <c r="P2"/>
      <c r="S2"/>
    </row>
    <row r="3" spans="1:19" ht="15" x14ac:dyDescent="0.25">
      <c r="A3" s="11" t="s">
        <v>51</v>
      </c>
      <c r="B3" s="1"/>
      <c r="C3" s="1"/>
      <c r="D3" s="1"/>
      <c r="E3" s="1"/>
      <c r="F3" s="1"/>
      <c r="G3" s="1"/>
      <c r="H3" s="1"/>
      <c r="I3" s="1"/>
      <c r="J3" s="1"/>
      <c r="K3" s="1"/>
      <c r="L3"/>
      <c r="M3" s="1"/>
      <c r="N3" s="1"/>
      <c r="P3"/>
      <c r="S3"/>
    </row>
    <row r="4" spans="1:19" ht="40.5" x14ac:dyDescent="0.25">
      <c r="A4" s="7" t="s">
        <v>26</v>
      </c>
      <c r="B4" s="7" t="s">
        <v>58</v>
      </c>
      <c r="C4" s="7" t="s">
        <v>2</v>
      </c>
      <c r="D4" s="33" t="s">
        <v>55</v>
      </c>
      <c r="E4" s="7" t="s">
        <v>54</v>
      </c>
      <c r="F4" s="7" t="s">
        <v>5</v>
      </c>
      <c r="G4" s="7" t="s">
        <v>59</v>
      </c>
      <c r="H4" s="33" t="s">
        <v>52</v>
      </c>
      <c r="I4" s="7" t="s">
        <v>53</v>
      </c>
      <c r="J4" s="7" t="s">
        <v>4</v>
      </c>
      <c r="K4" s="14" t="s">
        <v>60</v>
      </c>
      <c r="L4" s="33" t="s">
        <v>57</v>
      </c>
      <c r="M4" s="7" t="s">
        <v>56</v>
      </c>
      <c r="N4" s="7" t="s">
        <v>71</v>
      </c>
      <c r="O4" s="7" t="s">
        <v>70</v>
      </c>
      <c r="P4" s="33" t="s">
        <v>81</v>
      </c>
      <c r="Q4" s="7" t="s">
        <v>82</v>
      </c>
      <c r="R4" s="7" t="s">
        <v>83</v>
      </c>
      <c r="S4" s="14" t="s">
        <v>84</v>
      </c>
    </row>
    <row r="5" spans="1:19" ht="13.5" x14ac:dyDescent="0.25">
      <c r="A5" s="2">
        <v>40359</v>
      </c>
      <c r="B5" s="49">
        <v>0</v>
      </c>
      <c r="C5" s="6">
        <v>0</v>
      </c>
      <c r="D5" s="37"/>
      <c r="E5" s="4"/>
      <c r="F5" s="20">
        <v>1</v>
      </c>
      <c r="G5" s="41">
        <v>100</v>
      </c>
      <c r="H5" s="34"/>
      <c r="I5" s="4"/>
      <c r="J5" s="20">
        <v>1</v>
      </c>
      <c r="K5" s="41">
        <v>100</v>
      </c>
      <c r="M5" s="4"/>
      <c r="N5" s="20">
        <v>1</v>
      </c>
      <c r="O5" s="41">
        <v>100</v>
      </c>
      <c r="Q5" s="4"/>
      <c r="R5" s="20">
        <v>1</v>
      </c>
      <c r="S5" s="41">
        <v>100</v>
      </c>
    </row>
    <row r="6" spans="1:19" ht="13.5" x14ac:dyDescent="0.25">
      <c r="A6" s="2">
        <v>40451</v>
      </c>
      <c r="B6" s="49">
        <v>6061795.7800000003</v>
      </c>
      <c r="C6" s="6">
        <v>23</v>
      </c>
      <c r="D6" s="36">
        <f t="shared" ref="D6:D22" si="0">E6</f>
        <v>0.1139</v>
      </c>
      <c r="E6" s="4">
        <v>0.1139</v>
      </c>
      <c r="F6" s="4">
        <f>(F5)*(E6+1)</f>
        <v>1.1139000000000001</v>
      </c>
      <c r="G6" s="41">
        <f>G5*(1+E6)</f>
        <v>111.39000000000001</v>
      </c>
      <c r="H6" s="36">
        <f t="shared" ref="H6:H22" si="1">I6</f>
        <v>0.1183</v>
      </c>
      <c r="I6" s="4">
        <v>0.1183</v>
      </c>
      <c r="J6" s="4">
        <f>(J5)*(I6+1)</f>
        <v>1.1183000000000001</v>
      </c>
      <c r="K6" s="41">
        <f>K5*(1+I6)</f>
        <v>111.83000000000001</v>
      </c>
      <c r="L6" s="36">
        <f t="shared" ref="L6:L22" si="2">M6</f>
        <v>0.113</v>
      </c>
      <c r="M6" s="4">
        <v>0.113</v>
      </c>
      <c r="N6" s="4">
        <f>(N5)*(M6+1)</f>
        <v>1.113</v>
      </c>
      <c r="O6" s="41">
        <f>O5*(1+M6)</f>
        <v>111.3</v>
      </c>
      <c r="P6" s="36">
        <f t="shared" ref="P6:P22" si="3">Q6</f>
        <v>0.1278</v>
      </c>
      <c r="Q6" s="4">
        <v>0.1278</v>
      </c>
      <c r="R6" s="4">
        <f>(R5)*(Q6+1)</f>
        <v>1.1277999999999999</v>
      </c>
      <c r="S6" s="41">
        <f>S5*(1+Q6)</f>
        <v>112.77999999999999</v>
      </c>
    </row>
    <row r="7" spans="1:19" ht="13.5" x14ac:dyDescent="0.25">
      <c r="A7" s="2">
        <v>40543</v>
      </c>
      <c r="B7" s="49">
        <v>4076736.04</v>
      </c>
      <c r="C7" s="6">
        <v>11</v>
      </c>
      <c r="D7" s="36">
        <f t="shared" si="0"/>
        <v>6.0038800000000003E-2</v>
      </c>
      <c r="E7" s="4">
        <v>6.0038800000000003E-2</v>
      </c>
      <c r="F7" s="4">
        <f>(E6+1)*(E7+1)-1</f>
        <v>0.18077721932000013</v>
      </c>
      <c r="G7" s="40">
        <f>G6*(1+E7)</f>
        <v>118.07772193200002</v>
      </c>
      <c r="H7" s="36">
        <f t="shared" si="1"/>
        <v>6.3793589999999997E-2</v>
      </c>
      <c r="I7" s="4">
        <v>6.3793589999999997E-2</v>
      </c>
      <c r="J7" s="4">
        <f>(I6+1)*(I7+1)-1</f>
        <v>0.1896403716970001</v>
      </c>
      <c r="K7" s="40">
        <f>K6*(1+I7)</f>
        <v>118.96403716970001</v>
      </c>
      <c r="L7" s="36">
        <f t="shared" si="2"/>
        <v>0.1076</v>
      </c>
      <c r="M7" s="4">
        <v>0.1076</v>
      </c>
      <c r="N7" s="4">
        <f>(M6+1)*(M7+1)-1</f>
        <v>0.23275879999999982</v>
      </c>
      <c r="O7" s="40">
        <f>O6*(1+M7)</f>
        <v>123.27587999999999</v>
      </c>
      <c r="P7" s="36">
        <f t="shared" si="3"/>
        <v>6.5000000000000002E-2</v>
      </c>
      <c r="Q7" s="4">
        <v>6.5000000000000002E-2</v>
      </c>
      <c r="R7" s="4">
        <f>(Q6+1)*(Q7+1)-1</f>
        <v>0.20110699999999992</v>
      </c>
      <c r="S7" s="40">
        <f>S6*(1+Q7)</f>
        <v>120.11069999999998</v>
      </c>
    </row>
    <row r="8" spans="1:19" ht="13.5" x14ac:dyDescent="0.25">
      <c r="A8" s="2">
        <v>40633</v>
      </c>
      <c r="B8" s="49">
        <v>4192937.41</v>
      </c>
      <c r="C8" s="6">
        <v>9</v>
      </c>
      <c r="D8" s="36">
        <f t="shared" si="0"/>
        <v>4.7500000000000001E-2</v>
      </c>
      <c r="E8" s="4">
        <v>4.7500000000000001E-2</v>
      </c>
      <c r="F8" s="4">
        <f t="shared" ref="F8:F13" si="4">(F7+1)*(E8+1)-1</f>
        <v>0.23686413723770028</v>
      </c>
      <c r="G8" s="40">
        <f t="shared" ref="G8:G70" si="5">G7*(1+E8)</f>
        <v>123.68641372377003</v>
      </c>
      <c r="H8" s="36">
        <f t="shared" si="1"/>
        <v>5.0795319999999998E-2</v>
      </c>
      <c r="I8" s="4">
        <v>5.0795319999999998E-2</v>
      </c>
      <c r="J8" s="4">
        <f>(J7+1)*(I8+1)-1</f>
        <v>0.25006853506226823</v>
      </c>
      <c r="K8" s="41">
        <f t="shared" ref="K8:K70" si="6">K7*(1+I8)</f>
        <v>125.0068535062268</v>
      </c>
      <c r="L8" s="36">
        <f t="shared" si="2"/>
        <v>5.91E-2</v>
      </c>
      <c r="M8" s="4">
        <v>5.91E-2</v>
      </c>
      <c r="N8" s="4">
        <f t="shared" ref="N8:N13" si="7">(N7+1)*(M8+1)-1</f>
        <v>0.30561484507999981</v>
      </c>
      <c r="O8" s="40">
        <f t="shared" ref="O8:O70" si="8">O7*(1+M8)</f>
        <v>130.56148450799998</v>
      </c>
      <c r="P8" s="36">
        <f t="shared" si="3"/>
        <v>5.3699999999999998E-2</v>
      </c>
      <c r="Q8" s="4">
        <v>5.3699999999999998E-2</v>
      </c>
      <c r="R8" s="4">
        <f t="shared" ref="R8:R71" si="9">(R7+1)*(Q8+1)-1</f>
        <v>0.26560644590000004</v>
      </c>
      <c r="S8" s="41">
        <f t="shared" ref="S8:S70" si="10">S7*(1+Q8)</f>
        <v>126.56064459</v>
      </c>
    </row>
    <row r="9" spans="1:19" ht="13.5" x14ac:dyDescent="0.25">
      <c r="A9" s="2">
        <v>40724</v>
      </c>
      <c r="B9" s="49">
        <v>4801649.87</v>
      </c>
      <c r="C9" s="6">
        <v>12</v>
      </c>
      <c r="D9" s="36">
        <f t="shared" si="0"/>
        <v>3.0300000000000001E-2</v>
      </c>
      <c r="E9" s="4">
        <v>3.0300000000000001E-2</v>
      </c>
      <c r="F9" s="4">
        <f t="shared" si="4"/>
        <v>0.27434112059600269</v>
      </c>
      <c r="G9" s="40">
        <f t="shared" si="5"/>
        <v>127.43411205960027</v>
      </c>
      <c r="H9" s="36">
        <f t="shared" si="1"/>
        <v>3.3381809999999998E-2</v>
      </c>
      <c r="I9" s="4">
        <v>3.3381809999999998E-2</v>
      </c>
      <c r="J9" s="4">
        <f t="shared" ref="J9:J72" si="11">(J8+1)*(I9+1)-1</f>
        <v>0.29179808538669527</v>
      </c>
      <c r="K9" s="41">
        <f t="shared" si="6"/>
        <v>129.1798085386695</v>
      </c>
      <c r="L9" s="36">
        <f t="shared" si="2"/>
        <v>1E-3</v>
      </c>
      <c r="M9" s="4">
        <v>1E-3</v>
      </c>
      <c r="N9" s="4">
        <f t="shared" si="7"/>
        <v>0.30692045992507966</v>
      </c>
      <c r="O9" s="40">
        <f t="shared" si="8"/>
        <v>130.69204599250796</v>
      </c>
      <c r="P9" s="36">
        <f t="shared" si="3"/>
        <v>3.5999999999999997E-2</v>
      </c>
      <c r="Q9" s="4">
        <v>3.5999999999999997E-2</v>
      </c>
      <c r="R9" s="4">
        <f t="shared" si="9"/>
        <v>0.3111682779524001</v>
      </c>
      <c r="S9" s="41">
        <f t="shared" si="10"/>
        <v>131.11682779524</v>
      </c>
    </row>
    <row r="10" spans="1:19" ht="13.5" x14ac:dyDescent="0.25">
      <c r="A10" s="2">
        <v>40816</v>
      </c>
      <c r="B10" s="49">
        <v>6082382.9199999999</v>
      </c>
      <c r="C10" s="6">
        <v>14</v>
      </c>
      <c r="D10" s="36">
        <f t="shared" si="0"/>
        <v>-6.93E-2</v>
      </c>
      <c r="E10" s="4">
        <v>-6.93E-2</v>
      </c>
      <c r="F10" s="4">
        <f t="shared" si="4"/>
        <v>0.18602928093869964</v>
      </c>
      <c r="G10" s="40">
        <f t="shared" si="5"/>
        <v>118.60292809386996</v>
      </c>
      <c r="H10" s="36">
        <f t="shared" si="1"/>
        <v>-6.6491969999999997E-2</v>
      </c>
      <c r="I10" s="4">
        <v>-6.6491969999999997E-2</v>
      </c>
      <c r="J10" s="4">
        <f t="shared" si="11"/>
        <v>0.20590388584710584</v>
      </c>
      <c r="K10" s="41">
        <f t="shared" si="6"/>
        <v>120.59038858471055</v>
      </c>
      <c r="L10" s="36">
        <f t="shared" si="2"/>
        <v>-0.13869999999999999</v>
      </c>
      <c r="M10" s="4">
        <v>-0.13869999999999999</v>
      </c>
      <c r="N10" s="4">
        <f t="shared" si="7"/>
        <v>0.12565059213347096</v>
      </c>
      <c r="O10" s="40">
        <f t="shared" si="8"/>
        <v>112.5650592133471</v>
      </c>
      <c r="P10" s="36">
        <f t="shared" si="3"/>
        <v>-7.2099999999999997E-2</v>
      </c>
      <c r="Q10" s="4">
        <v>-7.2099999999999997E-2</v>
      </c>
      <c r="R10" s="4">
        <f t="shared" si="9"/>
        <v>0.21663304511203196</v>
      </c>
      <c r="S10" s="41">
        <f t="shared" si="10"/>
        <v>121.66330451120319</v>
      </c>
    </row>
    <row r="11" spans="1:19" ht="13.5" x14ac:dyDescent="0.25">
      <c r="A11" s="2">
        <v>40908</v>
      </c>
      <c r="B11" s="49">
        <v>8040005.21</v>
      </c>
      <c r="C11" s="6">
        <v>18</v>
      </c>
      <c r="D11" s="36">
        <f t="shared" si="0"/>
        <v>9.69E-2</v>
      </c>
      <c r="E11" s="4">
        <v>9.69E-2</v>
      </c>
      <c r="F11" s="4">
        <f t="shared" si="4"/>
        <v>0.30095551826165967</v>
      </c>
      <c r="G11" s="40">
        <f t="shared" si="5"/>
        <v>130.09555182616597</v>
      </c>
      <c r="H11" s="36">
        <f t="shared" si="1"/>
        <v>0.10024867</v>
      </c>
      <c r="I11" s="4">
        <v>0.10024867</v>
      </c>
      <c r="J11" s="4">
        <f t="shared" si="11"/>
        <v>0.32679414655111017</v>
      </c>
      <c r="K11" s="41">
        <f t="shared" si="6"/>
        <v>132.67941465511097</v>
      </c>
      <c r="L11" s="36">
        <f t="shared" si="2"/>
        <v>0.11799999999999999</v>
      </c>
      <c r="M11" s="4">
        <v>0.11799999999999999</v>
      </c>
      <c r="N11" s="4">
        <f t="shared" si="7"/>
        <v>0.25847736200522031</v>
      </c>
      <c r="O11" s="40">
        <f t="shared" si="8"/>
        <v>125.84773620052204</v>
      </c>
      <c r="P11" s="36">
        <f t="shared" si="3"/>
        <v>0.1096</v>
      </c>
      <c r="Q11" s="4">
        <v>0.1096</v>
      </c>
      <c r="R11" s="4">
        <f t="shared" si="9"/>
        <v>0.34997602685631057</v>
      </c>
      <c r="S11" s="41">
        <f t="shared" si="10"/>
        <v>134.99760268563105</v>
      </c>
    </row>
    <row r="12" spans="1:19" ht="13.5" x14ac:dyDescent="0.25">
      <c r="A12" s="2">
        <v>40999</v>
      </c>
      <c r="B12" s="49">
        <v>8885522.6600000001</v>
      </c>
      <c r="C12" s="6">
        <v>20</v>
      </c>
      <c r="D12" s="36">
        <f t="shared" si="0"/>
        <v>4.6100000000000002E-2</v>
      </c>
      <c r="E12" s="4">
        <v>4.6100000000000002E-2</v>
      </c>
      <c r="F12" s="4">
        <f t="shared" si="4"/>
        <v>0.36092956765352224</v>
      </c>
      <c r="G12" s="40">
        <f t="shared" si="5"/>
        <v>136.09295676535223</v>
      </c>
      <c r="H12" s="36">
        <f t="shared" si="1"/>
        <v>4.9030459999999998E-2</v>
      </c>
      <c r="I12" s="4">
        <v>4.9030459999999998E-2</v>
      </c>
      <c r="J12" s="4">
        <f t="shared" si="11"/>
        <v>0.39184747388181851</v>
      </c>
      <c r="K12" s="41">
        <f t="shared" si="6"/>
        <v>139.18474738818182</v>
      </c>
      <c r="L12" s="36">
        <f t="shared" si="2"/>
        <v>0.1258</v>
      </c>
      <c r="M12" s="4">
        <v>0.1258</v>
      </c>
      <c r="N12" s="4">
        <f t="shared" si="7"/>
        <v>0.416793814145477</v>
      </c>
      <c r="O12" s="40">
        <f t="shared" si="8"/>
        <v>141.67938141454769</v>
      </c>
      <c r="P12" s="36">
        <f t="shared" si="3"/>
        <v>4.0800000000000003E-2</v>
      </c>
      <c r="Q12" s="4">
        <v>4.0800000000000003E-2</v>
      </c>
      <c r="R12" s="4">
        <f t="shared" si="9"/>
        <v>0.4050550487520479</v>
      </c>
      <c r="S12" s="41">
        <f t="shared" si="10"/>
        <v>140.50550487520479</v>
      </c>
    </row>
    <row r="13" spans="1:19" ht="13.5" x14ac:dyDescent="0.25">
      <c r="A13" s="2">
        <v>41090</v>
      </c>
      <c r="B13" s="49">
        <v>9583833.2300000004</v>
      </c>
      <c r="C13" s="6">
        <v>20</v>
      </c>
      <c r="D13" s="36">
        <f t="shared" si="0"/>
        <v>-1E-3</v>
      </c>
      <c r="E13" s="4">
        <v>-1E-3</v>
      </c>
      <c r="F13" s="4">
        <f t="shared" si="4"/>
        <v>0.3595686380858687</v>
      </c>
      <c r="G13" s="40">
        <f t="shared" si="5"/>
        <v>135.95686380858689</v>
      </c>
      <c r="H13" s="36">
        <f t="shared" si="1"/>
        <v>1.81657E-3</v>
      </c>
      <c r="I13" s="4">
        <v>1.81657E-3</v>
      </c>
      <c r="J13" s="4">
        <f t="shared" si="11"/>
        <v>0.39437586224744781</v>
      </c>
      <c r="K13" s="41">
        <f t="shared" si="6"/>
        <v>139.43758622474476</v>
      </c>
      <c r="L13" s="36">
        <f t="shared" si="2"/>
        <v>-2.75E-2</v>
      </c>
      <c r="M13" s="4">
        <v>-2.75E-2</v>
      </c>
      <c r="N13" s="4">
        <f t="shared" si="7"/>
        <v>0.37783198425647635</v>
      </c>
      <c r="O13" s="40">
        <f t="shared" si="8"/>
        <v>137.78319842564764</v>
      </c>
      <c r="P13" s="36">
        <f t="shared" si="3"/>
        <v>1.7399999999999999E-2</v>
      </c>
      <c r="Q13" s="4">
        <v>1.7399999999999999E-2</v>
      </c>
      <c r="R13" s="4">
        <f t="shared" si="9"/>
        <v>0.42950300660033358</v>
      </c>
      <c r="S13" s="41">
        <f t="shared" si="10"/>
        <v>142.95030066003338</v>
      </c>
    </row>
    <row r="14" spans="1:19" ht="13.5" x14ac:dyDescent="0.25">
      <c r="A14" s="2">
        <v>41182</v>
      </c>
      <c r="B14" s="49">
        <v>11217593.359999999</v>
      </c>
      <c r="C14" s="6">
        <v>22</v>
      </c>
      <c r="D14" s="36">
        <f t="shared" si="0"/>
        <v>2.6100000000000002E-2</v>
      </c>
      <c r="E14" s="4">
        <v>2.6100000000000002E-2</v>
      </c>
      <c r="F14" s="4">
        <f t="shared" ref="F14:F20" si="12">(F13+1)*(E14+1)-1</f>
        <v>0.39505337953990982</v>
      </c>
      <c r="G14" s="40">
        <f t="shared" si="5"/>
        <v>139.50533795399102</v>
      </c>
      <c r="H14" s="36">
        <f t="shared" si="1"/>
        <v>2.894327E-2</v>
      </c>
      <c r="I14" s="4">
        <v>2.894327E-2</v>
      </c>
      <c r="J14" s="4">
        <f t="shared" si="11"/>
        <v>0.43473365930995866</v>
      </c>
      <c r="K14" s="41">
        <f t="shared" si="6"/>
        <v>143.47336593099584</v>
      </c>
      <c r="L14" s="36">
        <f t="shared" si="2"/>
        <v>6.3500000000000001E-2</v>
      </c>
      <c r="M14" s="4">
        <v>6.3500000000000001E-2</v>
      </c>
      <c r="N14" s="4">
        <f t="shared" ref="N14:N19" si="13">(N13+1)*(M14+1)-1</f>
        <v>0.46532431525676254</v>
      </c>
      <c r="O14" s="40">
        <f t="shared" si="8"/>
        <v>146.53243152567626</v>
      </c>
      <c r="P14" s="36">
        <f t="shared" si="3"/>
        <v>4.4600000000000001E-2</v>
      </c>
      <c r="Q14" s="4">
        <v>4.4600000000000001E-2</v>
      </c>
      <c r="R14" s="4">
        <f t="shared" si="9"/>
        <v>0.49325884069470849</v>
      </c>
      <c r="S14" s="41">
        <f t="shared" si="10"/>
        <v>149.32588406947087</v>
      </c>
    </row>
    <row r="15" spans="1:19" ht="13.5" x14ac:dyDescent="0.25">
      <c r="A15" s="2">
        <v>41274</v>
      </c>
      <c r="B15" s="49">
        <v>12755462.42</v>
      </c>
      <c r="C15" s="6">
        <v>26</v>
      </c>
      <c r="D15" s="36">
        <f t="shared" si="0"/>
        <v>3.0000000000000001E-3</v>
      </c>
      <c r="E15" s="4">
        <v>3.0000000000000001E-3</v>
      </c>
      <c r="F15" s="4">
        <f t="shared" si="12"/>
        <v>0.3992385396785294</v>
      </c>
      <c r="G15" s="40">
        <f t="shared" si="5"/>
        <v>139.92385396785298</v>
      </c>
      <c r="H15" s="36">
        <f t="shared" si="1"/>
        <v>5.3827099999999998E-3</v>
      </c>
      <c r="I15" s="4">
        <v>5.3827099999999998E-3</v>
      </c>
      <c r="J15" s="4">
        <f t="shared" si="11"/>
        <v>0.44245641452526274</v>
      </c>
      <c r="K15" s="41">
        <f t="shared" si="6"/>
        <v>144.24564145252626</v>
      </c>
      <c r="L15" s="36">
        <f t="shared" si="2"/>
        <v>-3.8E-3</v>
      </c>
      <c r="M15" s="4">
        <v>-3.8E-3</v>
      </c>
      <c r="N15" s="4">
        <f t="shared" si="13"/>
        <v>0.45975608285878677</v>
      </c>
      <c r="O15" s="40">
        <f t="shared" si="8"/>
        <v>145.97560828587868</v>
      </c>
      <c r="P15" s="36">
        <f t="shared" si="3"/>
        <v>-3.0000000000000001E-3</v>
      </c>
      <c r="Q15" s="4">
        <v>-3.0000000000000001E-3</v>
      </c>
      <c r="R15" s="4">
        <f t="shared" si="9"/>
        <v>0.4887790641726244</v>
      </c>
      <c r="S15" s="41">
        <f t="shared" si="10"/>
        <v>148.87790641726247</v>
      </c>
    </row>
    <row r="16" spans="1:19" ht="13.5" x14ac:dyDescent="0.25">
      <c r="A16" s="2">
        <v>41364</v>
      </c>
      <c r="B16" s="49">
        <v>13909060.48</v>
      </c>
      <c r="C16" s="6">
        <v>27</v>
      </c>
      <c r="D16" s="36">
        <f t="shared" si="0"/>
        <v>6.9599999999999995E-2</v>
      </c>
      <c r="E16" s="4">
        <v>6.9599999999999995E-2</v>
      </c>
      <c r="F16" s="4">
        <f t="shared" si="12"/>
        <v>0.49662554204015485</v>
      </c>
      <c r="G16" s="40">
        <f t="shared" si="5"/>
        <v>149.66255420401552</v>
      </c>
      <c r="H16" s="36">
        <f t="shared" si="1"/>
        <v>7.2229689999999999E-2</v>
      </c>
      <c r="I16" s="4">
        <v>7.2229689999999999E-2</v>
      </c>
      <c r="J16" s="4">
        <f t="shared" si="11"/>
        <v>0.54664459418493383</v>
      </c>
      <c r="K16" s="41">
        <f t="shared" si="6"/>
        <v>154.66445941849335</v>
      </c>
      <c r="L16" s="36">
        <f t="shared" si="2"/>
        <v>0.1061</v>
      </c>
      <c r="M16" s="4">
        <v>0.1061</v>
      </c>
      <c r="N16" s="4">
        <f t="shared" si="13"/>
        <v>0.61463620325010426</v>
      </c>
      <c r="O16" s="40">
        <f t="shared" si="8"/>
        <v>161.46362032501042</v>
      </c>
      <c r="P16" s="36">
        <f t="shared" si="3"/>
        <v>0.1368</v>
      </c>
      <c r="Q16" s="4">
        <v>0.1368</v>
      </c>
      <c r="R16" s="4">
        <f t="shared" si="9"/>
        <v>0.69244404015143957</v>
      </c>
      <c r="S16" s="41">
        <f t="shared" si="10"/>
        <v>169.24440401514397</v>
      </c>
    </row>
    <row r="17" spans="1:19" ht="13.5" x14ac:dyDescent="0.25">
      <c r="A17" s="2">
        <v>41455</v>
      </c>
      <c r="B17" s="49">
        <v>15783414.199999999</v>
      </c>
      <c r="C17" s="6">
        <v>30</v>
      </c>
      <c r="D17" s="36">
        <f t="shared" si="0"/>
        <v>1.3899999999999999E-2</v>
      </c>
      <c r="E17" s="4">
        <v>1.3899999999999999E-2</v>
      </c>
      <c r="F17" s="4">
        <f t="shared" si="12"/>
        <v>0.51742863707451314</v>
      </c>
      <c r="G17" s="40">
        <f t="shared" si="5"/>
        <v>151.74286370745133</v>
      </c>
      <c r="H17" s="36">
        <f t="shared" si="1"/>
        <v>1.6478119999999999E-2</v>
      </c>
      <c r="I17" s="4">
        <v>1.6478119999999999E-2</v>
      </c>
      <c r="J17" s="4">
        <f t="shared" si="11"/>
        <v>0.57213038940526428</v>
      </c>
      <c r="K17" s="41">
        <f t="shared" si="6"/>
        <v>157.21303894052642</v>
      </c>
      <c r="L17" s="36">
        <f t="shared" si="2"/>
        <v>2.9100000000000001E-2</v>
      </c>
      <c r="M17" s="4">
        <v>2.9100000000000001E-2</v>
      </c>
      <c r="N17" s="4">
        <f t="shared" si="13"/>
        <v>0.66162211676468208</v>
      </c>
      <c r="O17" s="40">
        <f t="shared" si="8"/>
        <v>166.16221167646822</v>
      </c>
      <c r="P17" s="36">
        <f t="shared" si="3"/>
        <v>2.1999999999999999E-2</v>
      </c>
      <c r="Q17" s="4">
        <v>2.1999999999999999E-2</v>
      </c>
      <c r="R17" s="4">
        <f t="shared" si="9"/>
        <v>0.72967780903477131</v>
      </c>
      <c r="S17" s="41">
        <f t="shared" si="10"/>
        <v>172.96778090347715</v>
      </c>
    </row>
    <row r="18" spans="1:19" ht="13.5" x14ac:dyDescent="0.25">
      <c r="A18" s="2">
        <v>41547</v>
      </c>
      <c r="B18" s="49">
        <v>17822734.800000001</v>
      </c>
      <c r="C18" s="6">
        <v>38</v>
      </c>
      <c r="D18" s="36">
        <f t="shared" si="0"/>
        <v>3.5700000000000003E-2</v>
      </c>
      <c r="E18" s="4">
        <v>3.5700000000000003E-2</v>
      </c>
      <c r="F18" s="4">
        <f t="shared" si="12"/>
        <v>0.57160083941807338</v>
      </c>
      <c r="G18" s="40">
        <f t="shared" si="5"/>
        <v>157.16008394180736</v>
      </c>
      <c r="H18" s="36">
        <f t="shared" si="1"/>
        <v>3.8435329999999997E-2</v>
      </c>
      <c r="I18" s="4">
        <v>3.8435329999999997E-2</v>
      </c>
      <c r="J18" s="4">
        <f t="shared" si="11"/>
        <v>0.63255573972508405</v>
      </c>
      <c r="K18" s="41">
        <f t="shared" si="6"/>
        <v>163.25557397250839</v>
      </c>
      <c r="L18" s="36">
        <f t="shared" si="2"/>
        <v>5.2400000000000002E-2</v>
      </c>
      <c r="M18" s="4">
        <v>5.2400000000000002E-2</v>
      </c>
      <c r="N18" s="4">
        <f t="shared" si="13"/>
        <v>0.7486911156831515</v>
      </c>
      <c r="O18" s="40">
        <f t="shared" si="8"/>
        <v>174.86911156831516</v>
      </c>
      <c r="P18" s="36">
        <f t="shared" si="3"/>
        <v>0.03</v>
      </c>
      <c r="Q18" s="4">
        <v>0.03</v>
      </c>
      <c r="R18" s="4">
        <f t="shared" si="9"/>
        <v>0.78156814330581459</v>
      </c>
      <c r="S18" s="41">
        <f t="shared" si="10"/>
        <v>178.15681433058145</v>
      </c>
    </row>
    <row r="19" spans="1:19" ht="13.5" x14ac:dyDescent="0.25">
      <c r="A19" s="2">
        <v>41639</v>
      </c>
      <c r="B19" s="49">
        <v>14943323.35</v>
      </c>
      <c r="C19" s="6">
        <v>37</v>
      </c>
      <c r="D19" s="36">
        <f t="shared" si="0"/>
        <v>6.7199999999999996E-2</v>
      </c>
      <c r="E19" s="4">
        <v>6.7199999999999996E-2</v>
      </c>
      <c r="F19" s="4">
        <f t="shared" si="12"/>
        <v>0.6772124158269679</v>
      </c>
      <c r="G19" s="40">
        <f t="shared" si="5"/>
        <v>167.72124158269679</v>
      </c>
      <c r="H19" s="36">
        <f t="shared" si="1"/>
        <v>6.994446E-2</v>
      </c>
      <c r="I19" s="4">
        <v>6.994446E-2</v>
      </c>
      <c r="J19" s="4">
        <f t="shared" si="11"/>
        <v>0.74674396936005571</v>
      </c>
      <c r="K19" s="41">
        <f t="shared" si="6"/>
        <v>174.67439693600556</v>
      </c>
      <c r="L19" s="36">
        <f t="shared" si="2"/>
        <v>0.1051</v>
      </c>
      <c r="M19" s="4">
        <v>0.1051</v>
      </c>
      <c r="N19" s="4">
        <f t="shared" si="13"/>
        <v>0.93247855194145068</v>
      </c>
      <c r="O19" s="40">
        <f t="shared" si="8"/>
        <v>193.24785519414507</v>
      </c>
      <c r="P19" s="36">
        <f t="shared" si="3"/>
        <v>7.0199999999999999E-2</v>
      </c>
      <c r="Q19" s="4">
        <v>7.0199999999999999E-2</v>
      </c>
      <c r="R19" s="4">
        <f t="shared" si="9"/>
        <v>0.90663422696588292</v>
      </c>
      <c r="S19" s="41">
        <f t="shared" si="10"/>
        <v>190.66342269658827</v>
      </c>
    </row>
    <row r="20" spans="1:19" ht="13.5" x14ac:dyDescent="0.25">
      <c r="A20" s="2">
        <v>41729</v>
      </c>
      <c r="B20" s="49">
        <v>16727782.199999999</v>
      </c>
      <c r="C20" s="6">
        <v>39</v>
      </c>
      <c r="D20" s="36">
        <f t="shared" si="0"/>
        <v>1.83E-2</v>
      </c>
      <c r="E20" s="4">
        <v>1.83E-2</v>
      </c>
      <c r="F20" s="4">
        <f t="shared" si="12"/>
        <v>0.70790540303660143</v>
      </c>
      <c r="G20" s="40">
        <f t="shared" si="5"/>
        <v>170.79054030366015</v>
      </c>
      <c r="H20" s="36">
        <f t="shared" si="1"/>
        <v>2.1010939999999999E-2</v>
      </c>
      <c r="I20" s="4">
        <v>2.1010939999999999E-2</v>
      </c>
      <c r="J20" s="4">
        <f t="shared" si="11"/>
        <v>0.78344470209564165</v>
      </c>
      <c r="K20" s="41">
        <f t="shared" si="6"/>
        <v>178.34447020956418</v>
      </c>
      <c r="L20" s="36">
        <f t="shared" si="2"/>
        <v>1.7999999999999999E-2</v>
      </c>
      <c r="M20" s="4">
        <v>1.7999999999999999E-2</v>
      </c>
      <c r="N20" s="4">
        <f t="shared" ref="N20:N28" si="14">(N19+1)*(M20+1)-1</f>
        <v>0.96726316587639682</v>
      </c>
      <c r="O20" s="40">
        <f t="shared" si="8"/>
        <v>196.7263165876397</v>
      </c>
      <c r="P20" s="36">
        <f t="shared" si="3"/>
        <v>4.6100000000000002E-2</v>
      </c>
      <c r="Q20" s="4">
        <v>4.6100000000000002E-2</v>
      </c>
      <c r="R20" s="4">
        <f t="shared" si="9"/>
        <v>0.99453006482901007</v>
      </c>
      <c r="S20" s="41">
        <f t="shared" si="10"/>
        <v>199.453006482901</v>
      </c>
    </row>
    <row r="21" spans="1:19" ht="13.5" x14ac:dyDescent="0.25">
      <c r="A21" s="2">
        <v>41820</v>
      </c>
      <c r="B21" s="49">
        <v>18590246.379999999</v>
      </c>
      <c r="C21" s="6">
        <v>47</v>
      </c>
      <c r="D21" s="36">
        <f t="shared" si="0"/>
        <v>4.8500000000000001E-2</v>
      </c>
      <c r="E21" s="4">
        <v>4.8500000000000001E-2</v>
      </c>
      <c r="F21" s="4">
        <f t="shared" ref="F21:F28" si="15">(F20+1)*(E21+1)-1</f>
        <v>0.79073881508387656</v>
      </c>
      <c r="G21" s="40">
        <f t="shared" si="5"/>
        <v>179.07388150838767</v>
      </c>
      <c r="H21" s="36">
        <f t="shared" si="1"/>
        <v>5.139647E-2</v>
      </c>
      <c r="I21" s="4">
        <v>5.139647E-2</v>
      </c>
      <c r="J21" s="4">
        <f t="shared" si="11"/>
        <v>0.87510746422355923</v>
      </c>
      <c r="K21" s="41">
        <f t="shared" si="6"/>
        <v>187.51074642235594</v>
      </c>
      <c r="L21" s="36">
        <f t="shared" si="2"/>
        <v>5.2400000000000002E-2</v>
      </c>
      <c r="M21" s="4">
        <v>5.2400000000000002E-2</v>
      </c>
      <c r="N21" s="4">
        <f t="shared" si="14"/>
        <v>1.0703477557683199</v>
      </c>
      <c r="O21" s="40">
        <f t="shared" si="8"/>
        <v>207.03477557683203</v>
      </c>
      <c r="P21" s="36">
        <f t="shared" si="3"/>
        <v>8.4199999999999997E-2</v>
      </c>
      <c r="Q21" s="4">
        <v>8.4199999999999997E-2</v>
      </c>
      <c r="R21" s="4">
        <f t="shared" si="9"/>
        <v>1.162469496287613</v>
      </c>
      <c r="S21" s="41">
        <f t="shared" si="10"/>
        <v>216.24694962876129</v>
      </c>
    </row>
    <row r="22" spans="1:19" ht="13.5" x14ac:dyDescent="0.25">
      <c r="A22" s="2">
        <v>41912</v>
      </c>
      <c r="B22" s="49">
        <v>32649429.370000001</v>
      </c>
      <c r="C22" s="6">
        <v>57</v>
      </c>
      <c r="D22" s="36">
        <f t="shared" si="0"/>
        <v>-8.6599999999999993E-3</v>
      </c>
      <c r="E22" s="4">
        <v>-8.6599999999999993E-3</v>
      </c>
      <c r="F22" s="4">
        <f t="shared" si="15"/>
        <v>0.7752310169452501</v>
      </c>
      <c r="G22" s="40">
        <f t="shared" si="5"/>
        <v>177.52310169452502</v>
      </c>
      <c r="H22" s="36">
        <f t="shared" si="1"/>
        <v>-6.3E-3</v>
      </c>
      <c r="I22" s="4">
        <v>-6.3E-3</v>
      </c>
      <c r="J22" s="4">
        <f t="shared" si="11"/>
        <v>0.86329428719895085</v>
      </c>
      <c r="K22" s="41">
        <f t="shared" si="6"/>
        <v>186.32942871989511</v>
      </c>
      <c r="L22" s="36">
        <f t="shared" si="2"/>
        <v>1.1299999999999999E-2</v>
      </c>
      <c r="M22" s="4">
        <v>1.1299999999999999E-2</v>
      </c>
      <c r="N22" s="4">
        <f t="shared" si="14"/>
        <v>1.0937426854085022</v>
      </c>
      <c r="O22" s="40">
        <f t="shared" si="8"/>
        <v>209.37426854085027</v>
      </c>
      <c r="P22" s="36">
        <f t="shared" si="3"/>
        <v>-1.77E-2</v>
      </c>
      <c r="Q22" s="4">
        <v>-1.77E-2</v>
      </c>
      <c r="R22" s="4">
        <f t="shared" si="9"/>
        <v>1.124193786203322</v>
      </c>
      <c r="S22" s="41">
        <f t="shared" si="10"/>
        <v>212.4193786203322</v>
      </c>
    </row>
    <row r="23" spans="1:19" ht="13.5" x14ac:dyDescent="0.25">
      <c r="A23" s="2">
        <v>41943</v>
      </c>
      <c r="B23" s="49">
        <v>34597235.299999997</v>
      </c>
      <c r="C23" s="6">
        <v>60</v>
      </c>
      <c r="D23" s="37"/>
      <c r="E23" s="4">
        <v>8.0000000000000002E-3</v>
      </c>
      <c r="F23" s="4">
        <f t="shared" si="15"/>
        <v>0.78943286508081201</v>
      </c>
      <c r="G23" s="40">
        <f t="shared" si="5"/>
        <v>178.94328650808123</v>
      </c>
      <c r="H23" s="37"/>
      <c r="I23" s="4">
        <v>9.4999999999999998E-3</v>
      </c>
      <c r="J23" s="4">
        <f t="shared" si="11"/>
        <v>0.88099558292734104</v>
      </c>
      <c r="K23" s="41">
        <f t="shared" si="6"/>
        <v>188.09955829273412</v>
      </c>
      <c r="L23" s="37"/>
      <c r="M23" s="4">
        <v>2.4400000000000002E-2</v>
      </c>
      <c r="N23" s="4">
        <f t="shared" si="14"/>
        <v>1.1448300069324695</v>
      </c>
      <c r="O23" s="40">
        <f t="shared" si="8"/>
        <v>214.48300069324702</v>
      </c>
      <c r="P23" s="37"/>
      <c r="Q23" s="4">
        <v>5.6978376085217511E-2</v>
      </c>
      <c r="R23" s="4">
        <f t="shared" si="9"/>
        <v>1.2452268986314974</v>
      </c>
      <c r="S23" s="41">
        <f t="shared" si="10"/>
        <v>224.52268986314971</v>
      </c>
    </row>
    <row r="24" spans="1:19" ht="13.5" x14ac:dyDescent="0.25">
      <c r="A24" s="2">
        <v>41973</v>
      </c>
      <c r="B24" s="49">
        <v>35908253.609999999</v>
      </c>
      <c r="C24" s="6">
        <v>63</v>
      </c>
      <c r="D24" s="37"/>
      <c r="E24" s="4">
        <v>2.07E-2</v>
      </c>
      <c r="F24" s="4">
        <f t="shared" si="15"/>
        <v>0.82647412538798481</v>
      </c>
      <c r="G24" s="40">
        <f t="shared" si="5"/>
        <v>182.64741253879851</v>
      </c>
      <c r="H24" s="37"/>
      <c r="I24" s="4">
        <v>2.12E-2</v>
      </c>
      <c r="J24" s="4">
        <f t="shared" si="11"/>
        <v>0.92087268928540089</v>
      </c>
      <c r="K24" s="41">
        <f t="shared" si="6"/>
        <v>192.08726892854011</v>
      </c>
      <c r="L24" s="37"/>
      <c r="M24" s="4">
        <v>2.69E-2</v>
      </c>
      <c r="N24" s="4">
        <f t="shared" si="14"/>
        <v>1.2025259341189529</v>
      </c>
      <c r="O24" s="40">
        <f t="shared" si="8"/>
        <v>220.25259341189536</v>
      </c>
      <c r="P24" s="37"/>
      <c r="Q24" s="4">
        <v>2.4186944985235753E-2</v>
      </c>
      <c r="R24" s="4">
        <f t="shared" si="9"/>
        <v>1.2995320781080686</v>
      </c>
      <c r="S24" s="41">
        <f t="shared" si="10"/>
        <v>229.95320781080684</v>
      </c>
    </row>
    <row r="25" spans="1:19" ht="13.5" x14ac:dyDescent="0.25">
      <c r="A25" s="2">
        <v>42004</v>
      </c>
      <c r="B25" s="49">
        <v>35810153.93</v>
      </c>
      <c r="C25" s="6">
        <v>65</v>
      </c>
      <c r="D25" s="36">
        <f>(1+E23)*(1+E24)*(1+E25)-1</f>
        <v>2.0531788640000048E-2</v>
      </c>
      <c r="E25" s="4">
        <v>-8.0999999999999996E-3</v>
      </c>
      <c r="F25" s="4">
        <f t="shared" si="15"/>
        <v>0.81167968497234222</v>
      </c>
      <c r="G25" s="40">
        <f t="shared" si="5"/>
        <v>181.16796849723423</v>
      </c>
      <c r="H25" s="36">
        <f>(1+I23)*(1+I24)*(1+I25)-1</f>
        <v>2.3169639500000061E-2</v>
      </c>
      <c r="I25" s="4">
        <v>-7.4999999999999997E-3</v>
      </c>
      <c r="J25" s="4">
        <f t="shared" si="11"/>
        <v>0.90646614411576043</v>
      </c>
      <c r="K25" s="41">
        <f t="shared" si="6"/>
        <v>190.64661441157608</v>
      </c>
      <c r="L25" s="36">
        <f>(1+M23)*(1+M24)*(1+M25)-1</f>
        <v>4.9326469099999937E-2</v>
      </c>
      <c r="M25" s="4">
        <v>-2.5000000000000001E-3</v>
      </c>
      <c r="N25" s="4">
        <f t="shared" si="14"/>
        <v>1.1970196192836555</v>
      </c>
      <c r="O25" s="40">
        <f t="shared" si="8"/>
        <v>219.70196192836565</v>
      </c>
      <c r="P25" s="36">
        <f>(1+Q23)*(1+Q24)*(1+Q25)-1</f>
        <v>9.6594794255664418E-2</v>
      </c>
      <c r="Q25" s="4">
        <v>1.2979931924794845E-2</v>
      </c>
      <c r="R25" s="4">
        <f t="shared" si="9"/>
        <v>1.329379847940793</v>
      </c>
      <c r="S25" s="41">
        <f t="shared" si="10"/>
        <v>232.93798479407928</v>
      </c>
    </row>
    <row r="26" spans="1:19" ht="13.5" x14ac:dyDescent="0.25">
      <c r="A26" s="2">
        <v>42035</v>
      </c>
      <c r="B26" s="49">
        <v>34857001.649999999</v>
      </c>
      <c r="C26" s="6">
        <v>65</v>
      </c>
      <c r="D26" s="37"/>
      <c r="E26" s="4">
        <v>-2.87E-2</v>
      </c>
      <c r="F26" s="4">
        <f t="shared" si="15"/>
        <v>0.75968447801363603</v>
      </c>
      <c r="G26" s="40">
        <f t="shared" si="5"/>
        <v>175.96844780136362</v>
      </c>
      <c r="H26" s="37"/>
      <c r="I26" s="4">
        <v>-2.7300000000000001E-2</v>
      </c>
      <c r="J26" s="4">
        <f t="shared" si="11"/>
        <v>0.85441961838140013</v>
      </c>
      <c r="K26" s="41">
        <f t="shared" si="6"/>
        <v>185.44196183814006</v>
      </c>
      <c r="L26" s="37"/>
      <c r="M26" s="4">
        <v>-0.03</v>
      </c>
      <c r="N26" s="4">
        <f t="shared" si="14"/>
        <v>1.1311090307051459</v>
      </c>
      <c r="O26" s="40">
        <f t="shared" si="8"/>
        <v>213.11090307051467</v>
      </c>
      <c r="P26" s="37"/>
      <c r="Q26" s="4">
        <v>6.3184953852466726E-3</v>
      </c>
      <c r="R26" s="4">
        <f t="shared" si="9"/>
        <v>1.3440980237604934</v>
      </c>
      <c r="S26" s="41">
        <f t="shared" si="10"/>
        <v>234.40980237604933</v>
      </c>
    </row>
    <row r="27" spans="1:19" ht="13.5" x14ac:dyDescent="0.25">
      <c r="A27" s="2">
        <v>42063</v>
      </c>
      <c r="B27" s="49">
        <v>37028775.829999998</v>
      </c>
      <c r="C27" s="6">
        <v>66</v>
      </c>
      <c r="D27" s="37"/>
      <c r="E27" s="4">
        <v>5.4199999999999998E-2</v>
      </c>
      <c r="F27" s="4">
        <f t="shared" si="15"/>
        <v>0.85505937672197518</v>
      </c>
      <c r="G27" s="40">
        <f t="shared" si="5"/>
        <v>185.50593767219755</v>
      </c>
      <c r="H27" s="37"/>
      <c r="I27" s="4">
        <v>5.4800000000000001E-2</v>
      </c>
      <c r="J27" s="4">
        <f t="shared" si="11"/>
        <v>0.95604181346870076</v>
      </c>
      <c r="K27" s="41">
        <f t="shared" si="6"/>
        <v>195.60418134687012</v>
      </c>
      <c r="L27" s="37"/>
      <c r="M27" s="4">
        <v>5.7500000000000002E-2</v>
      </c>
      <c r="N27" s="4">
        <f t="shared" si="14"/>
        <v>1.2536477999706919</v>
      </c>
      <c r="O27" s="40">
        <f t="shared" si="8"/>
        <v>225.36477999706929</v>
      </c>
      <c r="P27" s="37"/>
      <c r="Q27" s="4">
        <v>4.4152401782084185E-3</v>
      </c>
      <c r="R27" s="4">
        <f t="shared" si="9"/>
        <v>1.3544477795366596</v>
      </c>
      <c r="S27" s="41">
        <f t="shared" si="10"/>
        <v>235.44477795366598</v>
      </c>
    </row>
    <row r="28" spans="1:19" ht="13.5" x14ac:dyDescent="0.25">
      <c r="A28" s="2">
        <v>42094</v>
      </c>
      <c r="B28" s="49">
        <v>36514228.810000002</v>
      </c>
      <c r="C28" s="6">
        <v>67</v>
      </c>
      <c r="D28" s="36">
        <f>(1+E26)*(1+E27)*(1+E28)-1</f>
        <v>4.2847263680001468E-3</v>
      </c>
      <c r="E28" s="4">
        <v>-1.9199999999999998E-2</v>
      </c>
      <c r="F28" s="4">
        <f t="shared" si="15"/>
        <v>0.81944223668891336</v>
      </c>
      <c r="G28" s="40">
        <f t="shared" si="5"/>
        <v>181.94422366889137</v>
      </c>
      <c r="H28" s="36">
        <f>(1+I26)*(1+I27)*(1+I28)-1</f>
        <v>6.8176859479998075E-3</v>
      </c>
      <c r="I28" s="4">
        <v>-1.8700000000000001E-2</v>
      </c>
      <c r="J28" s="4">
        <f t="shared" si="11"/>
        <v>0.91946383155683598</v>
      </c>
      <c r="K28" s="41">
        <f t="shared" si="6"/>
        <v>191.94638315568363</v>
      </c>
      <c r="L28" s="36">
        <f>(1+M26)*(1+M27)*(1+M28)-1</f>
        <v>9.5677549999999556E-3</v>
      </c>
      <c r="M28" s="4">
        <v>-1.5800000000000002E-2</v>
      </c>
      <c r="N28" s="4">
        <f t="shared" si="14"/>
        <v>1.2180401647311547</v>
      </c>
      <c r="O28" s="40">
        <f t="shared" si="8"/>
        <v>221.80401647311558</v>
      </c>
      <c r="P28" s="36">
        <f>(1+Q26)*(1+Q27)*(1+Q28)-1</f>
        <v>-6.8523524868914221E-3</v>
      </c>
      <c r="Q28" s="4">
        <v>-1.7426448675745644E-2</v>
      </c>
      <c r="R28" s="4">
        <f t="shared" si="9"/>
        <v>1.313418116146841</v>
      </c>
      <c r="S28" s="41">
        <f t="shared" si="10"/>
        <v>231.3418116146841</v>
      </c>
    </row>
    <row r="29" spans="1:19" ht="13.5" x14ac:dyDescent="0.25">
      <c r="A29" s="2">
        <v>42124</v>
      </c>
      <c r="B29" s="49">
        <v>36883498.57</v>
      </c>
      <c r="C29" s="6">
        <v>66</v>
      </c>
      <c r="D29" s="37"/>
      <c r="E29" s="4">
        <v>1.8700000000000001E-2</v>
      </c>
      <c r="F29" s="4">
        <f t="shared" ref="F29:F34" si="16">(F28+1)*(E29+1)-1</f>
        <v>0.85346580651499604</v>
      </c>
      <c r="G29" s="40">
        <f t="shared" si="5"/>
        <v>185.34658065149964</v>
      </c>
      <c r="H29" s="37"/>
      <c r="I29" s="4">
        <v>2.01E-2</v>
      </c>
      <c r="J29" s="4">
        <f t="shared" si="11"/>
        <v>0.95804505457112832</v>
      </c>
      <c r="K29" s="41">
        <f t="shared" si="6"/>
        <v>195.80450545711287</v>
      </c>
      <c r="L29" s="37"/>
      <c r="M29" s="4">
        <v>9.5999999999999992E-3</v>
      </c>
      <c r="N29" s="4">
        <f t="shared" ref="N29:N34" si="17">(N28+1)*(M29+1)-1</f>
        <v>1.2393333503125739</v>
      </c>
      <c r="O29" s="40">
        <f t="shared" si="8"/>
        <v>223.93333503125751</v>
      </c>
      <c r="P29" s="37"/>
      <c r="Q29" s="4">
        <v>1.7766748436922622E-2</v>
      </c>
      <c r="R29" s="4">
        <f t="shared" si="9"/>
        <v>1.3545200338458412</v>
      </c>
      <c r="S29" s="41">
        <f t="shared" si="10"/>
        <v>235.45200338458415</v>
      </c>
    </row>
    <row r="30" spans="1:19" ht="13.5" x14ac:dyDescent="0.25">
      <c r="A30" s="2">
        <v>42155</v>
      </c>
      <c r="B30" s="49">
        <v>36877409.170000002</v>
      </c>
      <c r="C30" s="6">
        <v>66</v>
      </c>
      <c r="D30" s="37"/>
      <c r="E30" s="4">
        <v>-6.0000000000000001E-3</v>
      </c>
      <c r="F30" s="4">
        <f t="shared" si="16"/>
        <v>0.84234501167590614</v>
      </c>
      <c r="G30" s="40">
        <f t="shared" si="5"/>
        <v>184.23450116759065</v>
      </c>
      <c r="H30" s="37"/>
      <c r="I30" s="4">
        <v>-5.4999999999999997E-3</v>
      </c>
      <c r="J30" s="4">
        <f t="shared" si="11"/>
        <v>0.94727580677098722</v>
      </c>
      <c r="K30" s="41">
        <f t="shared" si="6"/>
        <v>194.72758067709876</v>
      </c>
      <c r="L30" s="37"/>
      <c r="M30" s="4">
        <v>1.29E-2</v>
      </c>
      <c r="N30" s="4">
        <f t="shared" si="17"/>
        <v>1.2682207505316057</v>
      </c>
      <c r="O30" s="40">
        <f t="shared" si="8"/>
        <v>226.82207505316072</v>
      </c>
      <c r="P30" s="37"/>
      <c r="Q30" s="4">
        <v>-9.7946337084555152E-3</v>
      </c>
      <c r="R30" s="4">
        <f t="shared" si="9"/>
        <v>1.3314583725551006</v>
      </c>
      <c r="S30" s="41">
        <f t="shared" si="10"/>
        <v>233.14583725551012</v>
      </c>
    </row>
    <row r="31" spans="1:19" ht="13.5" x14ac:dyDescent="0.25">
      <c r="A31" s="2">
        <v>42185</v>
      </c>
      <c r="B31" s="49">
        <v>35761753.590000004</v>
      </c>
      <c r="C31" s="6">
        <v>64</v>
      </c>
      <c r="D31" s="36">
        <f>(1+E29)*(1+E30)*(1+E31)-1</f>
        <v>-1.3030671340000022E-2</v>
      </c>
      <c r="E31" s="4">
        <v>-2.53E-2</v>
      </c>
      <c r="F31" s="4">
        <f t="shared" si="16"/>
        <v>0.79573368288050572</v>
      </c>
      <c r="G31" s="40">
        <f t="shared" si="5"/>
        <v>179.5733682880506</v>
      </c>
      <c r="H31" s="36">
        <f>(1+I29)*(1+I30)*(1+I31)-1</f>
        <v>-1.0568439414999853E-2</v>
      </c>
      <c r="I31" s="4">
        <v>-2.47E-2</v>
      </c>
      <c r="J31" s="4">
        <f t="shared" si="11"/>
        <v>0.89917809434374396</v>
      </c>
      <c r="K31" s="41">
        <f t="shared" si="6"/>
        <v>189.91780943437442</v>
      </c>
      <c r="L31" s="36">
        <f>(1+M29)*(1+M30)*(1+M31)-1</f>
        <v>2.7849375040001068E-3</v>
      </c>
      <c r="M31" s="4">
        <v>-1.9400000000000001E-2</v>
      </c>
      <c r="N31" s="4">
        <f t="shared" si="17"/>
        <v>1.2242172679712926</v>
      </c>
      <c r="O31" s="40">
        <f t="shared" si="8"/>
        <v>222.42172679712939</v>
      </c>
      <c r="P31" s="36">
        <f>(1+Q29)*(1+Q30)*(1+Q31)-1</f>
        <v>-3.0813628904285073E-2</v>
      </c>
      <c r="Q31" s="4">
        <v>-3.8312956727494789E-2</v>
      </c>
      <c r="R31" s="4">
        <f t="shared" si="9"/>
        <v>1.2421333088154416</v>
      </c>
      <c r="S31" s="41">
        <f t="shared" si="10"/>
        <v>224.21333088154421</v>
      </c>
    </row>
    <row r="32" spans="1:19" ht="13.5" x14ac:dyDescent="0.25">
      <c r="A32" s="2">
        <v>42216</v>
      </c>
      <c r="B32" s="49">
        <v>37638439.130000003</v>
      </c>
      <c r="C32" s="6">
        <v>67</v>
      </c>
      <c r="D32" s="37"/>
      <c r="E32" s="4">
        <v>3.0000000000000001E-3</v>
      </c>
      <c r="F32" s="4">
        <f t="shared" si="16"/>
        <v>0.80112088392914704</v>
      </c>
      <c r="G32" s="40">
        <f t="shared" si="5"/>
        <v>180.11208839291473</v>
      </c>
      <c r="H32" s="37"/>
      <c r="I32" s="4">
        <v>4.4000000000000003E-3</v>
      </c>
      <c r="J32" s="4">
        <f t="shared" si="11"/>
        <v>0.90753447795885633</v>
      </c>
      <c r="K32" s="41">
        <f t="shared" si="6"/>
        <v>190.75344779588565</v>
      </c>
      <c r="L32" s="37"/>
      <c r="M32" s="4">
        <v>2.0899999999999998E-2</v>
      </c>
      <c r="N32" s="4">
        <f t="shared" si="17"/>
        <v>1.2707034088718925</v>
      </c>
      <c r="O32" s="40">
        <f t="shared" si="8"/>
        <v>227.07034088718939</v>
      </c>
      <c r="P32" s="37"/>
      <c r="Q32" s="4">
        <v>1.0507681590150615E-2</v>
      </c>
      <c r="R32" s="4">
        <f t="shared" si="9"/>
        <v>1.2656929317071448</v>
      </c>
      <c r="S32" s="41">
        <f t="shared" si="10"/>
        <v>226.56929317071456</v>
      </c>
    </row>
    <row r="33" spans="1:19" ht="13.5" x14ac:dyDescent="0.25">
      <c r="A33" s="2">
        <v>42247</v>
      </c>
      <c r="B33" s="49">
        <v>35588804.259999998</v>
      </c>
      <c r="C33" s="6">
        <v>67</v>
      </c>
      <c r="D33" s="37"/>
      <c r="E33" s="4">
        <v>-5.45E-2</v>
      </c>
      <c r="F33" s="4">
        <f t="shared" si="16"/>
        <v>0.70295979575500844</v>
      </c>
      <c r="G33" s="40">
        <f t="shared" si="5"/>
        <v>170.29597957550087</v>
      </c>
      <c r="H33" s="37"/>
      <c r="I33" s="4">
        <v>-5.3999999999999999E-2</v>
      </c>
      <c r="J33" s="4">
        <f t="shared" si="11"/>
        <v>0.80452761614907797</v>
      </c>
      <c r="K33" s="41">
        <f t="shared" si="6"/>
        <v>180.45276161490781</v>
      </c>
      <c r="L33" s="37"/>
      <c r="M33" s="4">
        <v>-6.0299999999999999E-2</v>
      </c>
      <c r="N33" s="4">
        <f t="shared" si="17"/>
        <v>1.1337799933169173</v>
      </c>
      <c r="O33" s="40">
        <f t="shared" si="8"/>
        <v>213.37799933169185</v>
      </c>
      <c r="P33" s="37"/>
      <c r="Q33" s="4">
        <v>-3.6738388786883881E-2</v>
      </c>
      <c r="R33" s="4">
        <f t="shared" si="9"/>
        <v>1.1824550239103933</v>
      </c>
      <c r="S33" s="41">
        <f t="shared" si="10"/>
        <v>218.24550239103937</v>
      </c>
    </row>
    <row r="34" spans="1:19" ht="13.5" x14ac:dyDescent="0.25">
      <c r="A34" s="2">
        <v>42277</v>
      </c>
      <c r="B34" s="49">
        <v>36294523.630000003</v>
      </c>
      <c r="C34" s="6">
        <v>69</v>
      </c>
      <c r="D34" s="36">
        <f>(1+E32)*(1+E33)*(1+E34)-1</f>
        <v>-6.4181541800000019E-2</v>
      </c>
      <c r="E34" s="4">
        <v>-1.32E-2</v>
      </c>
      <c r="F34" s="4">
        <f t="shared" si="16"/>
        <v>0.68048072645104241</v>
      </c>
      <c r="G34" s="40">
        <f t="shared" si="5"/>
        <v>168.04807264510427</v>
      </c>
      <c r="H34" s="36">
        <f>(1+I32)*(1+I33)*(1+I34)-1</f>
        <v>-6.180964623999996E-2</v>
      </c>
      <c r="I34" s="4">
        <v>-1.26E-2</v>
      </c>
      <c r="J34" s="4">
        <f t="shared" si="11"/>
        <v>0.78179056818559967</v>
      </c>
      <c r="K34" s="41">
        <f t="shared" si="6"/>
        <v>178.17905681855999</v>
      </c>
      <c r="L34" s="36">
        <f>(1+M32)*(1+M33)*(1+M34)-1</f>
        <v>-6.4355961330999967E-2</v>
      </c>
      <c r="M34" s="4">
        <v>-2.47E-2</v>
      </c>
      <c r="N34" s="4">
        <f t="shared" si="17"/>
        <v>1.0810756274819897</v>
      </c>
      <c r="O34" s="40">
        <f t="shared" si="8"/>
        <v>208.10756274819909</v>
      </c>
      <c r="P34" s="36">
        <f>(1+Q32)*(1+Q33)*(1+Q34)-1</f>
        <v>-3.0242494163150613E-2</v>
      </c>
      <c r="Q34" s="4">
        <v>-3.7248962799894879E-3</v>
      </c>
      <c r="R34" s="4">
        <f t="shared" si="9"/>
        <v>1.1743256053105848</v>
      </c>
      <c r="S34" s="41">
        <f t="shared" si="10"/>
        <v>217.43256053105856</v>
      </c>
    </row>
    <row r="35" spans="1:19" ht="13.5" x14ac:dyDescent="0.25">
      <c r="A35" s="2">
        <v>42308</v>
      </c>
      <c r="B35" s="49">
        <v>36267237.060000002</v>
      </c>
      <c r="C35" s="6">
        <v>64</v>
      </c>
      <c r="D35" s="37"/>
      <c r="E35" s="4">
        <v>6.93E-2</v>
      </c>
      <c r="F35" s="4">
        <f t="shared" ref="F35:F40" si="18">(F34+1)*(E35+1)-1</f>
        <v>0.79693804079409958</v>
      </c>
      <c r="G35" s="40">
        <f t="shared" si="5"/>
        <v>179.69380407940997</v>
      </c>
      <c r="H35" s="37"/>
      <c r="I35" s="4">
        <v>7.0699999999999999E-2</v>
      </c>
      <c r="J35" s="4">
        <f t="shared" si="11"/>
        <v>0.90776316135632151</v>
      </c>
      <c r="K35" s="41">
        <f t="shared" si="6"/>
        <v>190.77631613563219</v>
      </c>
      <c r="L35" s="37"/>
      <c r="M35" s="4">
        <v>8.4400000000000003E-2</v>
      </c>
      <c r="N35" s="4">
        <f t="shared" ref="N35:N40" si="19">(N34+1)*(M35+1)-1</f>
        <v>1.2567184104414699</v>
      </c>
      <c r="O35" s="40">
        <f t="shared" si="8"/>
        <v>225.6718410441471</v>
      </c>
      <c r="P35" s="37"/>
      <c r="Q35" s="4">
        <v>6.3093659214263506E-2</v>
      </c>
      <c r="R35" s="4">
        <f t="shared" si="9"/>
        <v>1.3115117640728982</v>
      </c>
      <c r="S35" s="41">
        <f t="shared" si="10"/>
        <v>231.15117640728988</v>
      </c>
    </row>
    <row r="36" spans="1:19" ht="13.5" x14ac:dyDescent="0.25">
      <c r="A36" s="2">
        <v>42338</v>
      </c>
      <c r="B36" s="49">
        <v>37087727.439999998</v>
      </c>
      <c r="C36" s="6">
        <v>68</v>
      </c>
      <c r="D36" s="37"/>
      <c r="E36" s="4">
        <v>-6.3E-3</v>
      </c>
      <c r="F36" s="4">
        <f t="shared" si="18"/>
        <v>0.78561733113709686</v>
      </c>
      <c r="G36" s="40">
        <f t="shared" si="5"/>
        <v>178.56173311370969</v>
      </c>
      <c r="H36" s="37"/>
      <c r="I36" s="4">
        <v>-5.7999999999999996E-3</v>
      </c>
      <c r="J36" s="4">
        <f t="shared" si="11"/>
        <v>0.89669813502045481</v>
      </c>
      <c r="K36" s="41">
        <f t="shared" si="6"/>
        <v>189.66981350204551</v>
      </c>
      <c r="L36" s="37"/>
      <c r="M36" s="4">
        <v>3.0000000000000001E-3</v>
      </c>
      <c r="N36" s="4">
        <f t="shared" si="19"/>
        <v>1.2634885656727941</v>
      </c>
      <c r="O36" s="40">
        <f t="shared" si="8"/>
        <v>226.34885656727951</v>
      </c>
      <c r="P36" s="37"/>
      <c r="Q36" s="4">
        <v>-9.4158448531483901E-3</v>
      </c>
      <c r="R36" s="4">
        <f t="shared" si="9"/>
        <v>1.2897469279261604</v>
      </c>
      <c r="S36" s="41">
        <f t="shared" si="10"/>
        <v>228.97469279261611</v>
      </c>
    </row>
    <row r="37" spans="1:19" ht="13.5" x14ac:dyDescent="0.25">
      <c r="A37" s="2">
        <v>42369</v>
      </c>
      <c r="B37" s="49">
        <v>38338077.630000003</v>
      </c>
      <c r="C37" s="6">
        <v>69</v>
      </c>
      <c r="D37" s="36">
        <f>(1+E35)*(1+E36)*(1+E37)-1</f>
        <v>4.7581265918999804E-2</v>
      </c>
      <c r="E37" s="4">
        <v>-1.41E-2</v>
      </c>
      <c r="F37" s="4">
        <f t="shared" si="18"/>
        <v>0.76044012676806383</v>
      </c>
      <c r="G37" s="40">
        <f t="shared" si="5"/>
        <v>176.04401267680637</v>
      </c>
      <c r="H37" s="36">
        <f>(1+I35)*(1+I36)*(1+I37)-1</f>
        <v>5.0119325809999893E-2</v>
      </c>
      <c r="I37" s="4">
        <v>-1.35E-2</v>
      </c>
      <c r="J37" s="4">
        <f t="shared" si="11"/>
        <v>0.87109271019767864</v>
      </c>
      <c r="K37" s="41">
        <f t="shared" si="6"/>
        <v>187.1092710197679</v>
      </c>
      <c r="L37" s="36">
        <f>(1+M35)*(1+M36)*(1+M37)-1</f>
        <v>7.0468279439999781E-2</v>
      </c>
      <c r="M37" s="4">
        <v>-1.5800000000000002E-2</v>
      </c>
      <c r="N37" s="4">
        <f t="shared" si="19"/>
        <v>1.2277254463351639</v>
      </c>
      <c r="O37" s="40">
        <f t="shared" si="8"/>
        <v>222.77254463351647</v>
      </c>
      <c r="P37" s="36">
        <f>(1+Q35)*(1+Q36)*(1+Q37)-1</f>
        <v>4.5639897385533423E-2</v>
      </c>
      <c r="Q37" s="4">
        <v>-7.0686087222405804E-3</v>
      </c>
      <c r="R37" s="4">
        <f t="shared" si="9"/>
        <v>1.2735616028196981</v>
      </c>
      <c r="S37" s="41">
        <f t="shared" si="10"/>
        <v>227.35616028196986</v>
      </c>
    </row>
    <row r="38" spans="1:19" ht="13.5" x14ac:dyDescent="0.25">
      <c r="A38" s="2">
        <v>42400</v>
      </c>
      <c r="B38" s="49">
        <v>43403530.049999997</v>
      </c>
      <c r="C38" s="6">
        <v>73</v>
      </c>
      <c r="D38" s="37"/>
      <c r="E38" s="4">
        <v>-2.7699999999999999E-2</v>
      </c>
      <c r="F38" s="4">
        <f t="shared" si="18"/>
        <v>0.71167593525658845</v>
      </c>
      <c r="G38" s="40">
        <f t="shared" si="5"/>
        <v>171.16759352565884</v>
      </c>
      <c r="H38" s="37"/>
      <c r="I38" s="4">
        <v>-2.6599999999999999E-2</v>
      </c>
      <c r="J38" s="4">
        <f t="shared" si="11"/>
        <v>0.82132164410642039</v>
      </c>
      <c r="K38" s="41">
        <f t="shared" si="6"/>
        <v>182.13216441064208</v>
      </c>
      <c r="L38" s="37"/>
      <c r="M38" s="4">
        <v>-4.9599999999999998E-2</v>
      </c>
      <c r="N38" s="4">
        <f t="shared" si="19"/>
        <v>1.1172302641969396</v>
      </c>
      <c r="O38" s="40">
        <f t="shared" si="8"/>
        <v>211.72302641969407</v>
      </c>
      <c r="P38" s="37"/>
      <c r="Q38" s="4">
        <v>-1.08806739352244E-2</v>
      </c>
      <c r="R38" s="4">
        <f t="shared" si="9"/>
        <v>1.248823720347771</v>
      </c>
      <c r="S38" s="41">
        <f t="shared" si="10"/>
        <v>224.88237203477712</v>
      </c>
    </row>
    <row r="39" spans="1:19" ht="13.5" x14ac:dyDescent="0.25">
      <c r="A39" s="2">
        <v>42429</v>
      </c>
      <c r="B39" s="49">
        <v>43282075.100000001</v>
      </c>
      <c r="C39" s="6">
        <v>73</v>
      </c>
      <c r="D39" s="37"/>
      <c r="E39" s="4">
        <v>8.8000000000000005E-3</v>
      </c>
      <c r="F39" s="4">
        <f t="shared" si="18"/>
        <v>0.72673868348684634</v>
      </c>
      <c r="G39" s="40">
        <f t="shared" si="5"/>
        <v>172.67386834868464</v>
      </c>
      <c r="H39" s="37"/>
      <c r="I39" s="4">
        <v>9.1999999999999998E-3</v>
      </c>
      <c r="J39" s="4">
        <f t="shared" si="11"/>
        <v>0.8380778032321996</v>
      </c>
      <c r="K39" s="41">
        <f t="shared" si="6"/>
        <v>183.80778032321999</v>
      </c>
      <c r="L39" s="37"/>
      <c r="M39" s="4">
        <v>-1.2999999999999999E-3</v>
      </c>
      <c r="N39" s="4">
        <f t="shared" si="19"/>
        <v>1.1144778648534834</v>
      </c>
      <c r="O39" s="40">
        <f t="shared" si="8"/>
        <v>211.44778648534847</v>
      </c>
      <c r="P39" s="37"/>
      <c r="Q39" s="4">
        <v>3.0301475464362699E-2</v>
      </c>
      <c r="R39" s="4">
        <f t="shared" si="9"/>
        <v>1.3169663971335659</v>
      </c>
      <c r="S39" s="41">
        <f t="shared" si="10"/>
        <v>231.6966397133566</v>
      </c>
    </row>
    <row r="40" spans="1:19" ht="13.5" x14ac:dyDescent="0.25">
      <c r="A40" s="2">
        <v>42460</v>
      </c>
      <c r="B40" s="49">
        <v>46942876.969999999</v>
      </c>
      <c r="C40" s="6">
        <v>74</v>
      </c>
      <c r="D40" s="36">
        <f>(1+E38)*(1+E39)*(1+E40)-1</f>
        <v>3.9315271903999971E-2</v>
      </c>
      <c r="E40" s="4">
        <v>5.96E-2</v>
      </c>
      <c r="F40" s="4">
        <f t="shared" si="18"/>
        <v>0.82965230902266263</v>
      </c>
      <c r="G40" s="40">
        <f t="shared" si="5"/>
        <v>182.96523090226626</v>
      </c>
      <c r="H40" s="36">
        <f>(1+I38)*(1+I39)*(1+I40)-1</f>
        <v>4.1493067856000154E-2</v>
      </c>
      <c r="I40" s="4">
        <v>6.0199999999999997E-2</v>
      </c>
      <c r="J40" s="4">
        <f t="shared" si="11"/>
        <v>0.94873008698677808</v>
      </c>
      <c r="K40" s="41">
        <f t="shared" si="6"/>
        <v>194.87300869867784</v>
      </c>
      <c r="L40" s="36">
        <f>(1+M38)*(1+M39)*(1+M40)-1</f>
        <v>1.3517831744000119E-2</v>
      </c>
      <c r="M40" s="4">
        <v>6.7799999999999999E-2</v>
      </c>
      <c r="N40" s="4">
        <f t="shared" si="19"/>
        <v>1.2578394640905497</v>
      </c>
      <c r="O40" s="40">
        <f t="shared" si="8"/>
        <v>225.78394640905512</v>
      </c>
      <c r="P40" s="36">
        <f>(1+Q38)*(1+Q39)*(1+Q40)-1</f>
        <v>0.11327978204182743</v>
      </c>
      <c r="Q40" s="4">
        <v>9.2424201221538396E-2</v>
      </c>
      <c r="R40" s="4">
        <f t="shared" si="9"/>
        <v>1.5311101656457815</v>
      </c>
      <c r="S40" s="41">
        <f t="shared" si="10"/>
        <v>253.11101656457816</v>
      </c>
    </row>
    <row r="41" spans="1:19" ht="13.5" x14ac:dyDescent="0.25">
      <c r="A41" s="2">
        <v>42490</v>
      </c>
      <c r="B41" s="49">
        <v>47161051.450000003</v>
      </c>
      <c r="C41" s="6">
        <v>73</v>
      </c>
      <c r="D41" s="37"/>
      <c r="E41" s="4">
        <v>1.6000000000000001E-3</v>
      </c>
      <c r="F41" s="4">
        <f t="shared" ref="F41:F49" si="20">(F40+1)*(E41+1)-1</f>
        <v>0.83257975271709905</v>
      </c>
      <c r="G41" s="40">
        <f t="shared" si="5"/>
        <v>183.25797527170988</v>
      </c>
      <c r="H41" s="37"/>
      <c r="I41" s="4">
        <v>3.0000000000000001E-3</v>
      </c>
      <c r="J41" s="4">
        <f t="shared" si="11"/>
        <v>0.95457627724773819</v>
      </c>
      <c r="K41" s="41">
        <f t="shared" si="6"/>
        <v>195.45762772477386</v>
      </c>
      <c r="L41" s="37"/>
      <c r="M41" s="4">
        <v>3.8999999999999998E-3</v>
      </c>
      <c r="N41" s="4">
        <f t="shared" ref="N41:N49" si="21">(N40+1)*(M41+1)-1</f>
        <v>1.2666450380005028</v>
      </c>
      <c r="O41" s="40">
        <f t="shared" si="8"/>
        <v>226.66450380005043</v>
      </c>
      <c r="P41" s="37"/>
      <c r="Q41" s="4">
        <v>1.3253808962145699E-2</v>
      </c>
      <c r="R41" s="4">
        <f t="shared" si="9"/>
        <v>1.5646570162433955</v>
      </c>
      <c r="S41" s="41">
        <f t="shared" si="10"/>
        <v>256.4657016243396</v>
      </c>
    </row>
    <row r="42" spans="1:19" ht="13.5" x14ac:dyDescent="0.25">
      <c r="A42" s="2">
        <v>42521</v>
      </c>
      <c r="B42" s="49">
        <v>49422176.630000003</v>
      </c>
      <c r="C42" s="6">
        <v>79</v>
      </c>
      <c r="D42" s="37"/>
      <c r="E42" s="4">
        <v>3.5999999999999999E-3</v>
      </c>
      <c r="F42" s="4">
        <f t="shared" si="20"/>
        <v>0.83917703982688074</v>
      </c>
      <c r="G42" s="40">
        <f t="shared" si="5"/>
        <v>183.91770398268804</v>
      </c>
      <c r="H42" s="37"/>
      <c r="I42" s="4">
        <v>4.1999999999999997E-3</v>
      </c>
      <c r="J42" s="4">
        <f t="shared" si="11"/>
        <v>0.96278549761217858</v>
      </c>
      <c r="K42" s="41">
        <f t="shared" si="6"/>
        <v>196.2785497612179</v>
      </c>
      <c r="L42" s="37"/>
      <c r="M42" s="4">
        <v>1.7999999999999999E-2</v>
      </c>
      <c r="N42" s="4">
        <f t="shared" si="21"/>
        <v>1.3074446486845117</v>
      </c>
      <c r="O42" s="40">
        <f t="shared" si="8"/>
        <v>230.74446486845133</v>
      </c>
      <c r="P42" s="37"/>
      <c r="Q42" s="4">
        <v>4.8460141784478799E-4</v>
      </c>
      <c r="R42" s="4">
        <f t="shared" si="9"/>
        <v>1.5658998526697525</v>
      </c>
      <c r="S42" s="41">
        <f t="shared" si="10"/>
        <v>256.5899852669753</v>
      </c>
    </row>
    <row r="43" spans="1:19" ht="13.5" x14ac:dyDescent="0.25">
      <c r="A43" s="2">
        <v>42551</v>
      </c>
      <c r="B43" s="49">
        <v>50277273.049999997</v>
      </c>
      <c r="C43" s="6">
        <v>80</v>
      </c>
      <c r="D43" s="36">
        <f>(1+E41)*(1+E42)*(1+E43)-1</f>
        <v>2.6013519232000126E-2</v>
      </c>
      <c r="E43" s="4">
        <v>2.07E-2</v>
      </c>
      <c r="F43" s="4">
        <f t="shared" si="20"/>
        <v>0.87724800455129714</v>
      </c>
      <c r="G43" s="40">
        <f t="shared" si="5"/>
        <v>187.72480045512967</v>
      </c>
      <c r="H43" s="36">
        <f>(1+I41)*(1+I42)*(1+I43)-1</f>
        <v>2.8565507119999944E-2</v>
      </c>
      <c r="I43" s="4">
        <v>2.12E-2</v>
      </c>
      <c r="J43" s="4">
        <f t="shared" si="11"/>
        <v>1.004396550161557</v>
      </c>
      <c r="K43" s="41">
        <f t="shared" si="6"/>
        <v>200.43965501615574</v>
      </c>
      <c r="L43" s="36">
        <f>(1+M41)*(1+M42)*(1+M43)-1</f>
        <v>2.4627322519999773E-2</v>
      </c>
      <c r="M43" s="4">
        <v>2.5999999999999999E-3</v>
      </c>
      <c r="N43" s="4">
        <f t="shared" si="21"/>
        <v>1.3134440047710911</v>
      </c>
      <c r="O43" s="40">
        <f t="shared" si="8"/>
        <v>231.3444004771093</v>
      </c>
      <c r="P43" s="36">
        <f>(1+Q41)*(1+Q42)*(1+Q43)-1</f>
        <v>5.2556915905562773E-2</v>
      </c>
      <c r="Q43" s="4">
        <v>3.8285850087787197E-2</v>
      </c>
      <c r="R43" s="4">
        <f t="shared" si="9"/>
        <v>1.664137509769342</v>
      </c>
      <c r="S43" s="41">
        <f t="shared" si="10"/>
        <v>266.41375097693424</v>
      </c>
    </row>
    <row r="44" spans="1:19" ht="13.5" x14ac:dyDescent="0.25">
      <c r="A44" s="2">
        <v>42582</v>
      </c>
      <c r="B44" s="49">
        <v>52613383.020000003</v>
      </c>
      <c r="C44" s="6">
        <v>83</v>
      </c>
      <c r="D44" s="37"/>
      <c r="E44" s="4">
        <v>2.8400000000000002E-2</v>
      </c>
      <c r="F44" s="4">
        <f t="shared" si="20"/>
        <v>0.93056184788055396</v>
      </c>
      <c r="G44" s="40">
        <f t="shared" si="5"/>
        <v>193.05618478805533</v>
      </c>
      <c r="H44" s="37"/>
      <c r="I44" s="4">
        <v>2.9899999999999999E-2</v>
      </c>
      <c r="J44" s="4">
        <f t="shared" si="11"/>
        <v>1.0643280070113876</v>
      </c>
      <c r="K44" s="41">
        <f t="shared" si="6"/>
        <v>206.4328007011388</v>
      </c>
      <c r="L44" s="37"/>
      <c r="M44" s="4">
        <v>3.6900000000000002E-2</v>
      </c>
      <c r="N44" s="4">
        <f t="shared" si="21"/>
        <v>1.3988100885471444</v>
      </c>
      <c r="O44" s="40">
        <f t="shared" si="8"/>
        <v>239.88100885471462</v>
      </c>
      <c r="P44" s="37"/>
      <c r="Q44" s="4">
        <v>3.1137462431268102E-2</v>
      </c>
      <c r="R44" s="4">
        <f t="shared" si="9"/>
        <v>1.7470919913915171</v>
      </c>
      <c r="S44" s="41">
        <f t="shared" si="10"/>
        <v>274.70919913915174</v>
      </c>
    </row>
    <row r="45" spans="1:19" ht="13.5" x14ac:dyDescent="0.25">
      <c r="A45" s="2">
        <v>42613</v>
      </c>
      <c r="B45" s="49">
        <v>52955546.729999997</v>
      </c>
      <c r="C45" s="6">
        <v>89</v>
      </c>
      <c r="D45" s="37"/>
      <c r="E45" s="4">
        <v>-9.2999999999999992E-3</v>
      </c>
      <c r="F45" s="4">
        <f t="shared" si="20"/>
        <v>0.91260762269526485</v>
      </c>
      <c r="G45" s="40">
        <f t="shared" si="5"/>
        <v>191.26076226952642</v>
      </c>
      <c r="H45" s="37"/>
      <c r="I45" s="4">
        <v>-8.8000000000000005E-3</v>
      </c>
      <c r="J45" s="4">
        <f t="shared" si="11"/>
        <v>1.0461619205496873</v>
      </c>
      <c r="K45" s="41">
        <f t="shared" si="6"/>
        <v>204.61619205496876</v>
      </c>
      <c r="L45" s="37"/>
      <c r="M45" s="4">
        <v>1.4E-3</v>
      </c>
      <c r="N45" s="4">
        <f t="shared" si="21"/>
        <v>1.4021684226711106</v>
      </c>
      <c r="O45" s="40">
        <f t="shared" si="8"/>
        <v>240.21684226711125</v>
      </c>
      <c r="P45" s="37"/>
      <c r="Q45" s="4">
        <v>-3.88409751955521E-3</v>
      </c>
      <c r="R45" s="4">
        <f t="shared" si="9"/>
        <v>1.7364220182017633</v>
      </c>
      <c r="S45" s="41">
        <f t="shared" si="10"/>
        <v>273.64220182017635</v>
      </c>
    </row>
    <row r="46" spans="1:19" ht="13.5" x14ac:dyDescent="0.25">
      <c r="A46" s="2">
        <v>42643</v>
      </c>
      <c r="B46" s="49">
        <v>55138235.049999997</v>
      </c>
      <c r="C46" s="6">
        <v>98</v>
      </c>
      <c r="D46" s="36">
        <f>(1+E44)*(1+E45)*(1+E46)-1</f>
        <v>1.6696324651999994E-2</v>
      </c>
      <c r="E46" s="4">
        <v>-2.0999999999999999E-3</v>
      </c>
      <c r="F46" s="4">
        <f t="shared" si="20"/>
        <v>0.90859114668760488</v>
      </c>
      <c r="G46" s="40">
        <f t="shared" si="5"/>
        <v>190.85911466876041</v>
      </c>
      <c r="H46" s="36">
        <f>(1+I44)*(1+I45)*(1+I46)-1</f>
        <v>1.9203540991999946E-2</v>
      </c>
      <c r="I46" s="4">
        <v>-1.6000000000000001E-3</v>
      </c>
      <c r="J46" s="4">
        <f t="shared" si="11"/>
        <v>1.0428880614768077</v>
      </c>
      <c r="K46" s="41">
        <f t="shared" si="6"/>
        <v>204.28880614768082</v>
      </c>
      <c r="L46" s="36">
        <f>(1+M44)*(1+M45)*(1+M46)-1</f>
        <v>3.8559330331999986E-2</v>
      </c>
      <c r="M46" s="4">
        <v>2.0000000000000001E-4</v>
      </c>
      <c r="N46" s="4">
        <f t="shared" si="21"/>
        <v>1.4026488563556447</v>
      </c>
      <c r="O46" s="40">
        <f t="shared" si="8"/>
        <v>240.26488563556467</v>
      </c>
      <c r="P46" s="36">
        <f>(1+Q44)*(1+Q45)*(1+Q46)-1</f>
        <v>3.3686736885492063E-2</v>
      </c>
      <c r="Q46" s="4">
        <v>6.3811761379639594E-3</v>
      </c>
      <c r="R46" s="4">
        <f t="shared" si="9"/>
        <v>1.7538836090877115</v>
      </c>
      <c r="S46" s="41">
        <f t="shared" si="10"/>
        <v>275.38836090877118</v>
      </c>
    </row>
    <row r="47" spans="1:19" ht="13.5" x14ac:dyDescent="0.25">
      <c r="A47" s="2">
        <v>42674</v>
      </c>
      <c r="B47" s="49">
        <v>53000324.859999999</v>
      </c>
      <c r="C47" s="6">
        <v>101</v>
      </c>
      <c r="D47" s="37"/>
      <c r="E47" s="4">
        <v>-1.43E-2</v>
      </c>
      <c r="F47" s="4">
        <f t="shared" si="20"/>
        <v>0.88129829328997222</v>
      </c>
      <c r="G47" s="40">
        <f t="shared" si="5"/>
        <v>188.12982932899715</v>
      </c>
      <c r="H47" s="37"/>
      <c r="I47" s="4">
        <v>-1.2699999999999999E-2</v>
      </c>
      <c r="J47" s="4">
        <f t="shared" si="11"/>
        <v>1.0169433830960521</v>
      </c>
      <c r="K47" s="41">
        <f t="shared" si="6"/>
        <v>201.69433830960526</v>
      </c>
      <c r="L47" s="37"/>
      <c r="M47" s="4">
        <v>-1.8200000000000001E-2</v>
      </c>
      <c r="N47" s="4">
        <f t="shared" si="21"/>
        <v>1.3589206471699722</v>
      </c>
      <c r="O47" s="40">
        <f t="shared" si="8"/>
        <v>235.8920647169974</v>
      </c>
      <c r="P47" s="37"/>
      <c r="Q47" s="4">
        <v>-2.4315478294383103E-2</v>
      </c>
      <c r="R47" s="4">
        <f t="shared" si="9"/>
        <v>1.686921611965682</v>
      </c>
      <c r="S47" s="41">
        <f t="shared" si="10"/>
        <v>268.69216119656824</v>
      </c>
    </row>
    <row r="48" spans="1:19" ht="13.5" x14ac:dyDescent="0.25">
      <c r="A48" s="2">
        <v>42704</v>
      </c>
      <c r="B48" s="49">
        <v>54181582.310000002</v>
      </c>
      <c r="C48" s="6">
        <v>107</v>
      </c>
      <c r="D48" s="37"/>
      <c r="E48" s="4">
        <v>3.7000000000000002E-3</v>
      </c>
      <c r="F48" s="4">
        <f t="shared" si="20"/>
        <v>0.88825909697514516</v>
      </c>
      <c r="G48" s="40">
        <f t="shared" si="5"/>
        <v>188.82590969751445</v>
      </c>
      <c r="H48" s="37"/>
      <c r="I48" s="4">
        <v>4.1999999999999997E-3</v>
      </c>
      <c r="J48" s="4">
        <f t="shared" si="11"/>
        <v>1.0254145453050554</v>
      </c>
      <c r="K48" s="41">
        <f t="shared" si="6"/>
        <v>202.5414545305056</v>
      </c>
      <c r="L48" s="37"/>
      <c r="M48" s="4">
        <v>3.6999999999999998E-2</v>
      </c>
      <c r="N48" s="4">
        <f t="shared" si="21"/>
        <v>1.4462007111152611</v>
      </c>
      <c r="O48" s="40">
        <f t="shared" si="8"/>
        <v>244.62007111152627</v>
      </c>
      <c r="P48" s="37"/>
      <c r="Q48" s="4">
        <v>4.9427961582402702E-2</v>
      </c>
      <c r="R48" s="4">
        <f t="shared" si="9"/>
        <v>1.8197306701768494</v>
      </c>
      <c r="S48" s="41">
        <f t="shared" si="10"/>
        <v>281.97306701768497</v>
      </c>
    </row>
    <row r="49" spans="1:19" ht="13.5" x14ac:dyDescent="0.25">
      <c r="A49" s="2">
        <v>42735</v>
      </c>
      <c r="B49" s="49">
        <v>60884128.43</v>
      </c>
      <c r="C49" s="6">
        <v>113</v>
      </c>
      <c r="D49" s="36">
        <f>(1+E47)*(1+E48)*(1+E49)-1</f>
        <v>9.727640054000064E-3</v>
      </c>
      <c r="E49" s="4">
        <v>2.06E-2</v>
      </c>
      <c r="F49" s="4">
        <f t="shared" si="20"/>
        <v>0.92715723437283315</v>
      </c>
      <c r="G49" s="40">
        <f t="shared" si="5"/>
        <v>192.71572343728323</v>
      </c>
      <c r="H49" s="36">
        <f>(1+I47)*(1+I48)*(1+I49)-1</f>
        <v>1.2465329192000052E-2</v>
      </c>
      <c r="I49" s="4">
        <v>2.12E-2</v>
      </c>
      <c r="J49" s="4">
        <f t="shared" si="11"/>
        <v>1.0683533336655229</v>
      </c>
      <c r="K49" s="41">
        <f t="shared" si="6"/>
        <v>206.83533336655233</v>
      </c>
      <c r="L49" s="36">
        <f>(1+M47)*(1+M48)*(1+M49)-1</f>
        <v>3.8285506680000081E-2</v>
      </c>
      <c r="M49" s="4">
        <v>1.9800000000000002E-2</v>
      </c>
      <c r="N49" s="4">
        <f t="shared" si="21"/>
        <v>1.4946354851953432</v>
      </c>
      <c r="O49" s="40">
        <f t="shared" si="8"/>
        <v>249.4635485195345</v>
      </c>
      <c r="P49" s="36">
        <f>(1+Q47)*(1+Q48)*(1+Q49)-1</f>
        <v>3.1818353812095523E-2</v>
      </c>
      <c r="Q49" s="4">
        <v>7.7230716296672296E-3</v>
      </c>
      <c r="R49" s="4">
        <f t="shared" si="9"/>
        <v>1.8415076521189948</v>
      </c>
      <c r="S49" s="41">
        <f t="shared" si="10"/>
        <v>284.15076521189951</v>
      </c>
    </row>
    <row r="50" spans="1:19" ht="13.5" x14ac:dyDescent="0.25">
      <c r="A50" s="2">
        <v>42766</v>
      </c>
      <c r="B50" s="49">
        <v>48087487.520000003</v>
      </c>
      <c r="C50" s="6">
        <v>116</v>
      </c>
      <c r="D50" s="37"/>
      <c r="E50" s="4">
        <v>-3.8E-3</v>
      </c>
      <c r="F50" s="4">
        <f t="shared" ref="F50:F55" si="22">(F49+1)*(E50+1)-1</f>
        <v>0.91983403688221643</v>
      </c>
      <c r="G50" s="40">
        <f t="shared" si="5"/>
        <v>191.98340368822156</v>
      </c>
      <c r="H50" s="37"/>
      <c r="I50" s="4">
        <v>-2.3999999999999998E-3</v>
      </c>
      <c r="J50" s="4">
        <f t="shared" si="11"/>
        <v>1.0633892856647256</v>
      </c>
      <c r="K50" s="41">
        <f t="shared" si="6"/>
        <v>206.33892856647262</v>
      </c>
      <c r="L50" s="37"/>
      <c r="M50" s="4">
        <v>1.9E-2</v>
      </c>
      <c r="N50" s="4">
        <f t="shared" ref="N50:N55" si="23">(N49+1)*(M50+1)-1</f>
        <v>1.5420335594140546</v>
      </c>
      <c r="O50" s="40">
        <f t="shared" si="8"/>
        <v>254.20335594140562</v>
      </c>
      <c r="P50" s="37"/>
      <c r="Q50" s="4">
        <v>7.1262412856250004E-3</v>
      </c>
      <c r="R50" s="4">
        <f t="shared" si="9"/>
        <v>1.8617569212629443</v>
      </c>
      <c r="S50" s="41">
        <f t="shared" si="10"/>
        <v>286.17569212629451</v>
      </c>
    </row>
    <row r="51" spans="1:19" ht="13.5" x14ac:dyDescent="0.25">
      <c r="A51" s="2">
        <v>42794</v>
      </c>
      <c r="B51" s="49">
        <v>67569136.930000007</v>
      </c>
      <c r="C51" s="6">
        <v>119</v>
      </c>
      <c r="D51" s="37"/>
      <c r="E51" s="4">
        <v>3.7699999999999997E-2</v>
      </c>
      <c r="F51" s="4">
        <f t="shared" si="22"/>
        <v>0.99221178007267619</v>
      </c>
      <c r="G51" s="40">
        <f t="shared" si="5"/>
        <v>199.22117800726753</v>
      </c>
      <c r="H51" s="37"/>
      <c r="I51" s="4">
        <v>3.8199999999999998E-2</v>
      </c>
      <c r="J51" s="4">
        <f t="shared" si="11"/>
        <v>1.1422107563771182</v>
      </c>
      <c r="K51" s="41">
        <f t="shared" si="6"/>
        <v>214.22107563771186</v>
      </c>
      <c r="L51" s="37"/>
      <c r="M51" s="4">
        <v>3.9699999999999999E-2</v>
      </c>
      <c r="N51" s="4">
        <f t="shared" si="23"/>
        <v>1.6429522917227928</v>
      </c>
      <c r="O51" s="40">
        <f t="shared" si="8"/>
        <v>264.29522917227945</v>
      </c>
      <c r="P51" s="37"/>
      <c r="Q51" s="4">
        <v>2.81630309464256E-2</v>
      </c>
      <c r="R51" s="4">
        <f t="shared" si="9"/>
        <v>1.9423526699976201</v>
      </c>
      <c r="S51" s="41">
        <f t="shared" si="10"/>
        <v>294.23526699976208</v>
      </c>
    </row>
    <row r="52" spans="1:19" ht="13.5" x14ac:dyDescent="0.25">
      <c r="A52" s="2">
        <v>42825</v>
      </c>
      <c r="B52" s="49">
        <v>67710881.379999995</v>
      </c>
      <c r="C52" s="6">
        <v>120</v>
      </c>
      <c r="D52" s="36">
        <f>(1+E50)*(1+E51)*(1+E52)-1</f>
        <v>3.7685015612000106E-2</v>
      </c>
      <c r="E52" s="4">
        <v>3.8E-3</v>
      </c>
      <c r="F52" s="4">
        <f t="shared" si="22"/>
        <v>0.99978218483695236</v>
      </c>
      <c r="G52" s="40">
        <f t="shared" si="5"/>
        <v>199.97821848369514</v>
      </c>
      <c r="H52" s="36">
        <f>(1+I50)*(1+I51)*(1+I52)-1</f>
        <v>4.0161865776000116E-2</v>
      </c>
      <c r="I52" s="4">
        <v>4.3E-3</v>
      </c>
      <c r="J52" s="4">
        <f t="shared" si="11"/>
        <v>1.1514222626295396</v>
      </c>
      <c r="K52" s="41">
        <f t="shared" si="6"/>
        <v>215.14222626295401</v>
      </c>
      <c r="L52" s="36">
        <f>(1+M50)*(1+M51)*(1+M52)-1</f>
        <v>6.072564516000023E-2</v>
      </c>
      <c r="M52" s="4">
        <v>1.1999999999999999E-3</v>
      </c>
      <c r="N52" s="4">
        <f t="shared" si="23"/>
        <v>1.6461238344728604</v>
      </c>
      <c r="O52" s="40">
        <f t="shared" si="8"/>
        <v>264.61238344728622</v>
      </c>
      <c r="P52" s="36">
        <f>(1+Q50)*(1+Q51)*(1+Q52)-1</f>
        <v>2.1715467019496781E-2</v>
      </c>
      <c r="Q52" s="4">
        <v>-1.33024000054417E-2</v>
      </c>
      <c r="R52" s="4">
        <f t="shared" si="9"/>
        <v>1.9032123178242326</v>
      </c>
      <c r="S52" s="41">
        <f t="shared" si="10"/>
        <v>290.3212317824233</v>
      </c>
    </row>
    <row r="53" spans="1:19" ht="13.5" x14ac:dyDescent="0.25">
      <c r="A53" s="2">
        <v>42855</v>
      </c>
      <c r="B53" s="49">
        <v>68098634.510000005</v>
      </c>
      <c r="C53" s="6">
        <v>121</v>
      </c>
      <c r="D53" s="37"/>
      <c r="E53" s="4">
        <v>-7.3000000000000001E-3</v>
      </c>
      <c r="F53" s="4">
        <f t="shared" si="22"/>
        <v>0.98518377488764264</v>
      </c>
      <c r="G53" s="40">
        <f t="shared" si="5"/>
        <v>198.51837748876417</v>
      </c>
      <c r="H53" s="37"/>
      <c r="I53" s="4">
        <v>-5.8999999999999999E-3</v>
      </c>
      <c r="J53" s="4">
        <f t="shared" si="11"/>
        <v>1.1387288712800254</v>
      </c>
      <c r="K53" s="41">
        <f t="shared" si="6"/>
        <v>213.87288712800259</v>
      </c>
      <c r="L53" s="37"/>
      <c r="M53" s="4">
        <v>1.03E-2</v>
      </c>
      <c r="N53" s="4">
        <f t="shared" si="23"/>
        <v>1.6733789099679308</v>
      </c>
      <c r="O53" s="40">
        <f t="shared" si="8"/>
        <v>267.33789099679325</v>
      </c>
      <c r="P53" s="37"/>
      <c r="Q53" s="4">
        <v>-4.6998262188268098E-3</v>
      </c>
      <c r="R53" s="4">
        <f t="shared" si="9"/>
        <v>1.8895677244541011</v>
      </c>
      <c r="S53" s="41">
        <f t="shared" si="10"/>
        <v>288.95677244541019</v>
      </c>
    </row>
    <row r="54" spans="1:19" ht="13.5" x14ac:dyDescent="0.25">
      <c r="A54" s="2">
        <v>42886</v>
      </c>
      <c r="B54" s="49">
        <v>66897567.490000002</v>
      </c>
      <c r="C54" s="6">
        <v>121</v>
      </c>
      <c r="D54" s="37"/>
      <c r="E54" s="4">
        <v>4.4000000000000003E-3</v>
      </c>
      <c r="F54" s="4">
        <f t="shared" si="22"/>
        <v>0.99391858349714823</v>
      </c>
      <c r="G54" s="40">
        <f t="shared" si="5"/>
        <v>199.39185834971474</v>
      </c>
      <c r="H54" s="37"/>
      <c r="I54" s="4">
        <v>4.8999999999999998E-3</v>
      </c>
      <c r="J54" s="4">
        <f t="shared" si="11"/>
        <v>1.1492086427492971</v>
      </c>
      <c r="K54" s="41">
        <f t="shared" si="6"/>
        <v>214.92086427492978</v>
      </c>
      <c r="L54" s="37"/>
      <c r="M54" s="4">
        <v>1.41E-2</v>
      </c>
      <c r="N54" s="4">
        <f t="shared" si="23"/>
        <v>1.7110735525984788</v>
      </c>
      <c r="O54" s="40">
        <f t="shared" si="8"/>
        <v>271.10735525984802</v>
      </c>
      <c r="P54" s="37"/>
      <c r="Q54" s="4">
        <v>1.34198016143761E-3</v>
      </c>
      <c r="R54" s="4">
        <f t="shared" si="9"/>
        <v>1.8934454670154488</v>
      </c>
      <c r="S54" s="41">
        <f t="shared" si="10"/>
        <v>289.34454670154497</v>
      </c>
    </row>
    <row r="55" spans="1:19" ht="13.5" x14ac:dyDescent="0.25">
      <c r="A55" s="2">
        <v>42916</v>
      </c>
      <c r="B55" s="49">
        <v>67384466.969999999</v>
      </c>
      <c r="C55" s="6">
        <v>121</v>
      </c>
      <c r="D55" s="36">
        <f>(1+E53)*(1+E54)*(1+E55)-1</f>
        <v>5.1441298279999437E-3</v>
      </c>
      <c r="E55" s="4">
        <v>8.0999999999999996E-3</v>
      </c>
      <c r="F55" s="4">
        <f t="shared" si="22"/>
        <v>1.0100693240234753</v>
      </c>
      <c r="G55" s="40">
        <f t="shared" si="5"/>
        <v>201.00693240234742</v>
      </c>
      <c r="H55" s="36">
        <f>(1+I53)*(1+I54)*(1+I55)-1</f>
        <v>7.5622413739997452E-3</v>
      </c>
      <c r="I55" s="4">
        <v>8.6E-3</v>
      </c>
      <c r="J55" s="4">
        <f t="shared" si="11"/>
        <v>1.1676918370769411</v>
      </c>
      <c r="K55" s="41">
        <f t="shared" si="6"/>
        <v>216.76918370769417</v>
      </c>
      <c r="L55" s="36">
        <f>(1+M53)*(1+M54)*(1+M55)-1</f>
        <v>3.0897410426000027E-2</v>
      </c>
      <c r="M55" s="4">
        <v>6.1999999999999998E-3</v>
      </c>
      <c r="N55" s="4">
        <f t="shared" si="23"/>
        <v>1.7278822086245893</v>
      </c>
      <c r="O55" s="40">
        <f t="shared" si="8"/>
        <v>272.78822086245907</v>
      </c>
      <c r="P55" s="36">
        <f>(1+Q53)*(1+Q54)*(1+Q55)-1</f>
        <v>1.0315603049247501E-2</v>
      </c>
      <c r="Q55" s="4">
        <v>1.37259323183685E-2</v>
      </c>
      <c r="R55" s="4">
        <f t="shared" si="9"/>
        <v>1.9331607036625931</v>
      </c>
      <c r="S55" s="41">
        <f t="shared" si="10"/>
        <v>293.3160703662594</v>
      </c>
    </row>
    <row r="56" spans="1:19" ht="13.5" x14ac:dyDescent="0.25">
      <c r="A56" s="2">
        <v>42947</v>
      </c>
      <c r="B56" s="49">
        <v>69307240.799999997</v>
      </c>
      <c r="C56" s="6">
        <v>122</v>
      </c>
      <c r="D56" s="37"/>
      <c r="E56" s="4">
        <v>2.76E-2</v>
      </c>
      <c r="F56" s="4">
        <f t="shared" ref="F56:F61" si="24">(F55+1)*(E56+1)-1</f>
        <v>1.0655472373665233</v>
      </c>
      <c r="G56" s="40">
        <f t="shared" si="5"/>
        <v>206.55472373665222</v>
      </c>
      <c r="H56" s="37"/>
      <c r="I56" s="4">
        <v>2.9100000000000001E-2</v>
      </c>
      <c r="J56" s="4">
        <f t="shared" si="11"/>
        <v>1.2307716695358799</v>
      </c>
      <c r="K56" s="41">
        <f t="shared" si="6"/>
        <v>223.07716695358803</v>
      </c>
      <c r="L56" s="37"/>
      <c r="M56" s="4">
        <v>2.06E-2</v>
      </c>
      <c r="N56" s="4">
        <f t="shared" ref="N56:N61" si="25">(N55+1)*(M56+1)-1</f>
        <v>1.7840765821222555</v>
      </c>
      <c r="O56" s="40">
        <f t="shared" si="8"/>
        <v>278.40765821222573</v>
      </c>
      <c r="P56" s="37"/>
      <c r="Q56" s="4">
        <v>1.10398180472593E-2</v>
      </c>
      <c r="R56" s="4">
        <f t="shared" si="9"/>
        <v>1.9655422641343989</v>
      </c>
      <c r="S56" s="41">
        <f t="shared" si="10"/>
        <v>296.55422641344001</v>
      </c>
    </row>
    <row r="57" spans="1:19" ht="13.5" x14ac:dyDescent="0.25">
      <c r="A57" s="2">
        <v>42978</v>
      </c>
      <c r="B57" s="49">
        <v>69992016.799999997</v>
      </c>
      <c r="C57" s="6">
        <v>127</v>
      </c>
      <c r="D57" s="37"/>
      <c r="E57" s="4">
        <v>3.8E-3</v>
      </c>
      <c r="F57" s="4">
        <f t="shared" si="24"/>
        <v>1.0733963168685161</v>
      </c>
      <c r="G57" s="40">
        <f t="shared" si="5"/>
        <v>207.3396316868515</v>
      </c>
      <c r="H57" s="37"/>
      <c r="I57" s="4">
        <v>4.3E-3</v>
      </c>
      <c r="J57" s="4">
        <f t="shared" si="11"/>
        <v>1.240363987714884</v>
      </c>
      <c r="K57" s="41">
        <f t="shared" si="6"/>
        <v>224.03639877148845</v>
      </c>
      <c r="L57" s="37"/>
      <c r="M57" s="4">
        <v>3.0999999999999999E-3</v>
      </c>
      <c r="N57" s="4">
        <f t="shared" si="25"/>
        <v>1.792707219526835</v>
      </c>
      <c r="O57" s="40">
        <f t="shared" si="8"/>
        <v>279.27072195268363</v>
      </c>
      <c r="P57" s="37"/>
      <c r="Q57" s="4">
        <v>-1.26693706173533E-2</v>
      </c>
      <c r="R57" s="4">
        <f t="shared" si="9"/>
        <v>1.9279707101086552</v>
      </c>
      <c r="S57" s="41">
        <f t="shared" si="10"/>
        <v>292.79707101086564</v>
      </c>
    </row>
    <row r="58" spans="1:19" ht="13.5" x14ac:dyDescent="0.25">
      <c r="A58" s="2">
        <v>43008</v>
      </c>
      <c r="B58" s="49">
        <v>71197236.950000003</v>
      </c>
      <c r="C58" s="6">
        <v>129</v>
      </c>
      <c r="D58" s="36">
        <f>(1+E56)*(1+E57)*(1+E58)-1</f>
        <v>5.2547579552000068E-2</v>
      </c>
      <c r="E58" s="4">
        <v>2.0400000000000001E-2</v>
      </c>
      <c r="F58" s="4">
        <f t="shared" si="24"/>
        <v>1.1156936017326338</v>
      </c>
      <c r="G58" s="40">
        <f t="shared" si="5"/>
        <v>211.56936017326328</v>
      </c>
      <c r="H58" s="36">
        <f>(1+I56)*(1+I57)*(1+I58)-1</f>
        <v>5.5125805216999835E-2</v>
      </c>
      <c r="I58" s="4">
        <v>2.0899999999999998E-2</v>
      </c>
      <c r="J58" s="4">
        <f t="shared" si="11"/>
        <v>1.2871875950581249</v>
      </c>
      <c r="K58" s="41">
        <f t="shared" si="6"/>
        <v>228.71875950581253</v>
      </c>
      <c r="L58" s="36">
        <f>(1+M56)*(1+M57)*(1+M58)-1</f>
        <v>4.4853395515999983E-2</v>
      </c>
      <c r="M58" s="4">
        <v>2.06E-2</v>
      </c>
      <c r="N58" s="4">
        <f t="shared" si="25"/>
        <v>1.8502369882490877</v>
      </c>
      <c r="O58" s="40">
        <f t="shared" si="8"/>
        <v>285.02369882490888</v>
      </c>
      <c r="P58" s="36">
        <f>(1+Q56)*(1+Q57)*(1+Q58)-1</f>
        <v>3.0685630188195478E-2</v>
      </c>
      <c r="Q58" s="4">
        <v>3.2512578715496301E-2</v>
      </c>
      <c r="R58" s="4">
        <f t="shared" si="9"/>
        <v>2.0231665882977303</v>
      </c>
      <c r="S58" s="41">
        <f t="shared" si="10"/>
        <v>302.31665882977319</v>
      </c>
    </row>
    <row r="59" spans="1:19" ht="13.5" x14ac:dyDescent="0.25">
      <c r="A59" s="2">
        <v>43039</v>
      </c>
      <c r="B59" s="49">
        <v>69455578.260000005</v>
      </c>
      <c r="C59" s="6">
        <v>127</v>
      </c>
      <c r="D59" s="37"/>
      <c r="E59" s="4">
        <v>4.7000000000000002E-3</v>
      </c>
      <c r="F59" s="4">
        <f t="shared" si="24"/>
        <v>1.1256373616607771</v>
      </c>
      <c r="G59" s="40">
        <f t="shared" si="5"/>
        <v>212.5637361660776</v>
      </c>
      <c r="H59" s="37"/>
      <c r="I59" s="4">
        <v>6.1999999999999998E-3</v>
      </c>
      <c r="J59" s="4">
        <f t="shared" si="11"/>
        <v>1.3013681581474854</v>
      </c>
      <c r="K59" s="41">
        <f t="shared" si="6"/>
        <v>230.13681581474856</v>
      </c>
      <c r="L59" s="37"/>
      <c r="M59" s="4">
        <v>2.3300000000000001E-2</v>
      </c>
      <c r="N59" s="4">
        <f t="shared" si="25"/>
        <v>1.9166475100752915</v>
      </c>
      <c r="O59" s="40">
        <f t="shared" si="8"/>
        <v>291.66475100752928</v>
      </c>
      <c r="P59" s="37"/>
      <c r="Q59" s="4">
        <v>5.28859873655962E-3</v>
      </c>
      <c r="R59" s="4">
        <f t="shared" si="9"/>
        <v>2.0391549032970109</v>
      </c>
      <c r="S59" s="41">
        <f t="shared" si="10"/>
        <v>303.91549032970124</v>
      </c>
    </row>
    <row r="60" spans="1:19" ht="13.5" x14ac:dyDescent="0.25">
      <c r="A60" s="2">
        <v>43069</v>
      </c>
      <c r="B60" s="49">
        <v>73256931.030000001</v>
      </c>
      <c r="C60" s="6">
        <v>130</v>
      </c>
      <c r="D60" s="37"/>
      <c r="E60" s="4">
        <v>3.39E-2</v>
      </c>
      <c r="F60" s="4">
        <f t="shared" si="24"/>
        <v>1.1976964682210776</v>
      </c>
      <c r="G60" s="40">
        <f t="shared" si="5"/>
        <v>219.76964682210763</v>
      </c>
      <c r="H60" s="37"/>
      <c r="I60" s="4">
        <v>3.44E-2</v>
      </c>
      <c r="J60" s="4">
        <f t="shared" si="11"/>
        <v>1.380535222787759</v>
      </c>
      <c r="K60" s="41">
        <f t="shared" si="6"/>
        <v>238.05352227877592</v>
      </c>
      <c r="L60" s="37"/>
      <c r="M60" s="4">
        <v>3.0700000000000002E-2</v>
      </c>
      <c r="N60" s="4">
        <f t="shared" si="25"/>
        <v>2.0061885886346027</v>
      </c>
      <c r="O60" s="40">
        <f t="shared" si="8"/>
        <v>300.61885886346039</v>
      </c>
      <c r="P60" s="37"/>
      <c r="Q60" s="4">
        <v>4.48735966965794E-2</v>
      </c>
      <c r="R60" s="4">
        <f t="shared" si="9"/>
        <v>2.1755327147259926</v>
      </c>
      <c r="S60" s="41">
        <f t="shared" si="10"/>
        <v>317.55327147259942</v>
      </c>
    </row>
    <row r="61" spans="1:19" ht="13.5" x14ac:dyDescent="0.25">
      <c r="A61" s="2">
        <v>43100</v>
      </c>
      <c r="B61" s="49">
        <v>74380533.379999995</v>
      </c>
      <c r="C61" s="6">
        <v>130</v>
      </c>
      <c r="D61" s="36">
        <f>(1+E59)*(1+E60)*(1+E61)-1</f>
        <v>5.4963975548000032E-2</v>
      </c>
      <c r="E61" s="4">
        <v>1.5599999999999999E-2</v>
      </c>
      <c r="F61" s="4">
        <f t="shared" si="24"/>
        <v>1.2319805331253266</v>
      </c>
      <c r="G61" s="40">
        <f t="shared" si="5"/>
        <v>223.19805331253252</v>
      </c>
      <c r="H61" s="36">
        <f>(1+I59)*(1+I60)*(1+I61)-1</f>
        <v>5.7674455136000002E-2</v>
      </c>
      <c r="I61" s="4">
        <v>1.6199999999999999E-2</v>
      </c>
      <c r="J61" s="4">
        <f t="shared" si="11"/>
        <v>1.4190998933969206</v>
      </c>
      <c r="K61" s="41">
        <f t="shared" si="6"/>
        <v>241.90998933969209</v>
      </c>
      <c r="L61" s="36">
        <f>(1+M59)*(1+M60)*(1+M61)-1</f>
        <v>6.6422649941000111E-2</v>
      </c>
      <c r="M61" s="4">
        <v>1.11E-2</v>
      </c>
      <c r="N61" s="4">
        <f t="shared" si="25"/>
        <v>2.0395572819684471</v>
      </c>
      <c r="O61" s="40">
        <f t="shared" si="8"/>
        <v>303.95572819684486</v>
      </c>
      <c r="P61" s="36">
        <f>(1+Q59)*(1+Q60)*(1+Q61)-1</f>
        <v>5.9847386758028254E-2</v>
      </c>
      <c r="Q61" s="4">
        <v>8.9945518378971006E-3</v>
      </c>
      <c r="R61" s="4">
        <f t="shared" si="9"/>
        <v>2.2040952083415335</v>
      </c>
      <c r="S61" s="41">
        <f t="shared" si="10"/>
        <v>320.40952083415351</v>
      </c>
    </row>
    <row r="62" spans="1:19" ht="13.5" x14ac:dyDescent="0.25">
      <c r="A62" s="2">
        <v>43131</v>
      </c>
      <c r="B62" s="49">
        <v>74839178.010000005</v>
      </c>
      <c r="C62" s="6">
        <v>116</v>
      </c>
      <c r="D62" s="37"/>
      <c r="E62" s="4">
        <v>3.1899999999999998E-2</v>
      </c>
      <c r="F62" s="4">
        <f t="shared" ref="F62:F70" si="26">(F61+1)*(E62+1)-1</f>
        <v>1.3031807121320247</v>
      </c>
      <c r="G62" s="40">
        <f t="shared" si="5"/>
        <v>230.31807121320233</v>
      </c>
      <c r="H62" s="37"/>
      <c r="I62" s="4">
        <v>3.32E-2</v>
      </c>
      <c r="J62" s="4">
        <f t="shared" si="11"/>
        <v>1.499414009857698</v>
      </c>
      <c r="K62" s="41">
        <f t="shared" si="6"/>
        <v>249.94140098576983</v>
      </c>
      <c r="L62" s="37"/>
      <c r="M62" s="4">
        <v>5.7299999999999997E-2</v>
      </c>
      <c r="N62" s="4">
        <f t="shared" ref="N62:N70" si="27">(N61+1)*(M62+1)-1</f>
        <v>2.213723914225239</v>
      </c>
      <c r="O62" s="40">
        <f t="shared" si="8"/>
        <v>321.37239142252406</v>
      </c>
      <c r="P62" s="37"/>
      <c r="Q62" s="4">
        <v>1.81293352824385E-2</v>
      </c>
      <c r="R62" s="4">
        <f t="shared" si="9"/>
        <v>2.2621833246504117</v>
      </c>
      <c r="S62" s="41">
        <f t="shared" si="10"/>
        <v>326.21833246504139</v>
      </c>
    </row>
    <row r="63" spans="1:19" ht="13.5" x14ac:dyDescent="0.25">
      <c r="A63" s="2">
        <v>43159</v>
      </c>
      <c r="B63" s="49">
        <v>71718578.370000005</v>
      </c>
      <c r="C63" s="6">
        <v>116</v>
      </c>
      <c r="D63" s="37"/>
      <c r="E63" s="4">
        <v>-3.5499999999999997E-2</v>
      </c>
      <c r="F63" s="4">
        <f t="shared" si="26"/>
        <v>1.221417796851338</v>
      </c>
      <c r="G63" s="40">
        <f t="shared" si="5"/>
        <v>222.14177968513366</v>
      </c>
      <c r="H63" s="37"/>
      <c r="I63" s="4">
        <v>-3.5000000000000003E-2</v>
      </c>
      <c r="J63" s="4">
        <f t="shared" si="11"/>
        <v>1.4119345195126787</v>
      </c>
      <c r="K63" s="41">
        <f t="shared" si="6"/>
        <v>241.19345195126789</v>
      </c>
      <c r="L63" s="37"/>
      <c r="M63" s="4">
        <v>-3.6900000000000002E-2</v>
      </c>
      <c r="N63" s="4">
        <f t="shared" si="27"/>
        <v>2.0951375017903273</v>
      </c>
      <c r="O63" s="40">
        <f t="shared" si="8"/>
        <v>309.51375017903291</v>
      </c>
      <c r="P63" s="37"/>
      <c r="Q63" s="4">
        <v>-5.4031850301534901E-2</v>
      </c>
      <c r="R63" s="4">
        <f t="shared" si="9"/>
        <v>2.0859215235967374</v>
      </c>
      <c r="S63" s="41">
        <f t="shared" si="10"/>
        <v>308.59215235967395</v>
      </c>
    </row>
    <row r="64" spans="1:19" ht="13.5" x14ac:dyDescent="0.25">
      <c r="A64" s="2">
        <v>43190</v>
      </c>
      <c r="B64" s="49">
        <v>70772125.920000002</v>
      </c>
      <c r="C64" s="6">
        <v>116</v>
      </c>
      <c r="D64" s="36">
        <f>(1+E62)*(1+E63)*(1+E64)-1</f>
        <v>-1.8865249209999879E-2</v>
      </c>
      <c r="E64" s="4">
        <v>-1.4200000000000001E-2</v>
      </c>
      <c r="F64" s="4">
        <f t="shared" si="26"/>
        <v>1.1898736641360492</v>
      </c>
      <c r="G64" s="40">
        <f t="shared" si="5"/>
        <v>218.98736641360475</v>
      </c>
      <c r="H64" s="36">
        <f>(1+I62)*(1+I63)*(1+I64)-1</f>
        <v>-1.6621420600000159E-2</v>
      </c>
      <c r="I64" s="4">
        <v>-1.37E-2</v>
      </c>
      <c r="J64" s="4">
        <f t="shared" si="11"/>
        <v>1.3788910165953547</v>
      </c>
      <c r="K64" s="41">
        <f t="shared" si="6"/>
        <v>237.8891016595355</v>
      </c>
      <c r="L64" s="36">
        <f>(1+M62)*(1+M63)*(1+M64)-1</f>
        <v>-7.5788250020001335E-3</v>
      </c>
      <c r="M64" s="4">
        <v>-2.5399999999999999E-2</v>
      </c>
      <c r="N64" s="4">
        <f t="shared" si="27"/>
        <v>2.0165210092448529</v>
      </c>
      <c r="O64" s="40">
        <f t="shared" si="8"/>
        <v>301.65210092448547</v>
      </c>
      <c r="P64" s="36">
        <f>(1+Q62)*(1+Q63)*(1+Q64)-1</f>
        <v>-3.4544676424110854E-2</v>
      </c>
      <c r="Q64" s="4">
        <v>2.4269095903206601E-3</v>
      </c>
      <c r="R64" s="4">
        <f t="shared" si="9"/>
        <v>2.0934107761373313</v>
      </c>
      <c r="S64" s="41">
        <f t="shared" si="10"/>
        <v>309.34107761373332</v>
      </c>
    </row>
    <row r="65" spans="1:19" ht="13.5" x14ac:dyDescent="0.25">
      <c r="A65" s="2">
        <v>43220</v>
      </c>
      <c r="B65" s="49">
        <v>70651900.730000004</v>
      </c>
      <c r="C65" s="6">
        <v>117</v>
      </c>
      <c r="D65" s="37"/>
      <c r="E65" s="4">
        <v>9.7999999999999997E-3</v>
      </c>
      <c r="F65" s="4">
        <f t="shared" si="26"/>
        <v>1.2113344260445826</v>
      </c>
      <c r="G65" s="40">
        <f t="shared" si="5"/>
        <v>221.13344260445808</v>
      </c>
      <c r="H65" s="37"/>
      <c r="I65" s="4">
        <v>1.11E-2</v>
      </c>
      <c r="J65" s="4">
        <f t="shared" si="11"/>
        <v>1.4052967068795637</v>
      </c>
      <c r="K65" s="41">
        <f t="shared" si="6"/>
        <v>240.52967068795635</v>
      </c>
      <c r="L65" s="37"/>
      <c r="M65" s="4">
        <v>3.8E-3</v>
      </c>
      <c r="N65" s="4">
        <f t="shared" si="27"/>
        <v>2.0279837890799834</v>
      </c>
      <c r="O65" s="40">
        <f t="shared" si="8"/>
        <v>302.79837890799854</v>
      </c>
      <c r="P65" s="37"/>
      <c r="Q65" s="4">
        <v>1.2686575103753699E-2</v>
      </c>
      <c r="R65" s="4">
        <f t="shared" si="9"/>
        <v>2.1326555642755585</v>
      </c>
      <c r="S65" s="41">
        <f t="shared" si="10"/>
        <v>313.26555642755608</v>
      </c>
    </row>
    <row r="66" spans="1:19" ht="13.5" x14ac:dyDescent="0.25">
      <c r="A66" s="2">
        <v>43251</v>
      </c>
      <c r="B66" s="49">
        <v>75017926.140000001</v>
      </c>
      <c r="C66" s="6">
        <v>121</v>
      </c>
      <c r="D66" s="37"/>
      <c r="E66" s="4">
        <v>1.24E-2</v>
      </c>
      <c r="F66" s="4">
        <f t="shared" si="26"/>
        <v>1.2387549729275356</v>
      </c>
      <c r="G66" s="40">
        <f t="shared" si="5"/>
        <v>223.87549729275335</v>
      </c>
      <c r="H66" s="37"/>
      <c r="I66" s="4">
        <v>1.2800000000000001E-2</v>
      </c>
      <c r="J66" s="4">
        <f t="shared" si="11"/>
        <v>1.4360845047276221</v>
      </c>
      <c r="K66" s="41">
        <f t="shared" si="6"/>
        <v>243.60845047276217</v>
      </c>
      <c r="L66" s="37"/>
      <c r="M66" s="4">
        <v>2.41E-2</v>
      </c>
      <c r="N66" s="4">
        <f t="shared" si="27"/>
        <v>2.1009581983968109</v>
      </c>
      <c r="O66" s="40">
        <f t="shared" si="8"/>
        <v>310.09581983968133</v>
      </c>
      <c r="P66" s="37"/>
      <c r="Q66" s="4">
        <v>1.4594739379385499E-2</v>
      </c>
      <c r="R66" s="4">
        <f t="shared" si="9"/>
        <v>2.178375855801542</v>
      </c>
      <c r="S66" s="41">
        <f t="shared" si="10"/>
        <v>317.83758558015444</v>
      </c>
    </row>
    <row r="67" spans="1:19" ht="13.5" x14ac:dyDescent="0.25">
      <c r="A67" s="2">
        <v>43281</v>
      </c>
      <c r="B67" s="49">
        <v>75738974.670000002</v>
      </c>
      <c r="C67" s="6">
        <v>124</v>
      </c>
      <c r="D67" s="36">
        <f>(1+E65)*(1+E66)*(1+E67)-1</f>
        <v>2.886437772799999E-2</v>
      </c>
      <c r="E67" s="4">
        <v>6.4000000000000003E-3</v>
      </c>
      <c r="F67" s="4">
        <f t="shared" si="26"/>
        <v>1.2530830047542718</v>
      </c>
      <c r="G67" s="40">
        <f t="shared" si="5"/>
        <v>225.30830047542696</v>
      </c>
      <c r="H67" s="36">
        <f>(1+I65)*(1+I66)*(1+I67)-1</f>
        <v>3.1107970352000081E-2</v>
      </c>
      <c r="I67" s="4">
        <v>6.8999999999999999E-3</v>
      </c>
      <c r="J67" s="4">
        <f t="shared" si="11"/>
        <v>1.4528934878102424</v>
      </c>
      <c r="K67" s="41">
        <f t="shared" si="6"/>
        <v>245.28934878102422</v>
      </c>
      <c r="L67" s="36">
        <f>(1+M65)*(1+M66)*(1+M67)-1</f>
        <v>3.4365127796000206E-2</v>
      </c>
      <c r="M67" s="4">
        <v>6.1999999999999998E-3</v>
      </c>
      <c r="N67" s="4">
        <f t="shared" si="27"/>
        <v>2.120184139226871</v>
      </c>
      <c r="O67" s="40">
        <f t="shared" si="8"/>
        <v>312.01841392268733</v>
      </c>
      <c r="P67" s="36">
        <f>(1+Q65)*(1+Q66)*(1+Q67)-1</f>
        <v>5.3521461473728493E-2</v>
      </c>
      <c r="Q67" s="4">
        <v>2.5358481712010699E-2</v>
      </c>
      <c r="R67" s="4">
        <f t="shared" si="9"/>
        <v>2.258974641814782</v>
      </c>
      <c r="S67" s="41">
        <f t="shared" si="10"/>
        <v>325.89746418147843</v>
      </c>
    </row>
    <row r="68" spans="1:19" ht="13.5" x14ac:dyDescent="0.25">
      <c r="A68" s="2">
        <v>43312</v>
      </c>
      <c r="B68" s="49">
        <v>76795490.650000006</v>
      </c>
      <c r="C68" s="6">
        <v>123</v>
      </c>
      <c r="D68" s="37"/>
      <c r="E68" s="4">
        <v>3.0499999999999999E-2</v>
      </c>
      <c r="F68" s="4">
        <f t="shared" si="26"/>
        <v>1.3218020363992768</v>
      </c>
      <c r="G68" s="40">
        <f t="shared" si="5"/>
        <v>232.18020363992747</v>
      </c>
      <c r="H68" s="37"/>
      <c r="I68" s="4">
        <v>3.2000000000000001E-2</v>
      </c>
      <c r="J68" s="4">
        <f t="shared" si="11"/>
        <v>1.5313860794201704</v>
      </c>
      <c r="K68" s="41">
        <f t="shared" si="6"/>
        <v>253.13860794201699</v>
      </c>
      <c r="L68" s="37"/>
      <c r="M68" s="4">
        <v>3.7199999999999997E-2</v>
      </c>
      <c r="N68" s="4">
        <f t="shared" si="27"/>
        <v>2.2362549892061101</v>
      </c>
      <c r="O68" s="40">
        <f t="shared" si="8"/>
        <v>323.62549892061128</v>
      </c>
      <c r="P68" s="37"/>
      <c r="Q68" s="4">
        <v>1.50909793916156E-2</v>
      </c>
      <c r="R68" s="4">
        <f t="shared" si="9"/>
        <v>2.3081557609722068</v>
      </c>
      <c r="S68" s="41">
        <f t="shared" si="10"/>
        <v>330.81557609722091</v>
      </c>
    </row>
    <row r="69" spans="1:19" ht="13.5" x14ac:dyDescent="0.25">
      <c r="A69" s="2">
        <v>43343</v>
      </c>
      <c r="B69" s="49">
        <v>78250797.769999996</v>
      </c>
      <c r="C69" s="6">
        <v>124</v>
      </c>
      <c r="D69" s="37"/>
      <c r="E69" s="4">
        <v>1.6899999999999998E-2</v>
      </c>
      <c r="F69" s="4">
        <f t="shared" si="26"/>
        <v>1.3610404908144242</v>
      </c>
      <c r="G69" s="40">
        <f t="shared" si="5"/>
        <v>236.10404908144221</v>
      </c>
      <c r="H69" s="37"/>
      <c r="I69" s="4">
        <v>1.7399999999999999E-2</v>
      </c>
      <c r="J69" s="4">
        <f t="shared" si="11"/>
        <v>1.5754321972020815</v>
      </c>
      <c r="K69" s="41">
        <f t="shared" si="6"/>
        <v>257.54321972020813</v>
      </c>
      <c r="L69" s="37"/>
      <c r="M69" s="4">
        <v>3.2599999999999997E-2</v>
      </c>
      <c r="N69" s="4">
        <f t="shared" si="27"/>
        <v>2.3417569018542292</v>
      </c>
      <c r="O69" s="40">
        <f t="shared" si="8"/>
        <v>334.17569018542321</v>
      </c>
      <c r="P69" s="37"/>
      <c r="Q69" s="4">
        <v>1.05837992427418E-2</v>
      </c>
      <c r="R69" s="4">
        <f t="shared" si="9"/>
        <v>2.3431686174100563</v>
      </c>
      <c r="S69" s="41">
        <f t="shared" si="10"/>
        <v>334.31686174100588</v>
      </c>
    </row>
    <row r="70" spans="1:19" ht="13.5" x14ac:dyDescent="0.25">
      <c r="A70" s="2">
        <v>43373</v>
      </c>
      <c r="B70" s="49">
        <v>82071550.700000003</v>
      </c>
      <c r="C70" s="6">
        <v>128</v>
      </c>
      <c r="D70" s="36">
        <f>(1+E68)*(1+E69)*(1+E70)-1</f>
        <v>5.7451480594999937E-2</v>
      </c>
      <c r="E70" s="4">
        <v>9.1000000000000004E-3</v>
      </c>
      <c r="F70" s="4">
        <f t="shared" si="26"/>
        <v>1.3825259592808359</v>
      </c>
      <c r="G70" s="40">
        <f t="shared" si="5"/>
        <v>238.25259592808337</v>
      </c>
      <c r="H70" s="36">
        <f>(1+I68)*(1+I69)*(1+I70)-1</f>
        <v>6.0036385280000104E-2</v>
      </c>
      <c r="I70" s="4">
        <v>9.5999999999999992E-3</v>
      </c>
      <c r="J70" s="4">
        <f t="shared" si="11"/>
        <v>1.6001563462952215</v>
      </c>
      <c r="K70" s="41">
        <f t="shared" si="6"/>
        <v>260.01563462952214</v>
      </c>
      <c r="L70" s="36">
        <f>(1+M68)*(1+M69)*(1+M70)-1</f>
        <v>7.7117492503999907E-2</v>
      </c>
      <c r="M70" s="4">
        <v>5.7000000000000002E-3</v>
      </c>
      <c r="N70" s="4">
        <f t="shared" si="27"/>
        <v>2.3608049161947986</v>
      </c>
      <c r="O70" s="40">
        <f t="shared" si="8"/>
        <v>336.08049161948014</v>
      </c>
      <c r="P70" s="36">
        <f>(1+Q68)*(1+Q69)*(1+Q70)-1</f>
        <v>1.8433241077551621E-2</v>
      </c>
      <c r="Q70" s="4">
        <v>-7.2148650329703105E-3</v>
      </c>
      <c r="R70" s="4">
        <f t="shared" si="9"/>
        <v>2.3190481070529807</v>
      </c>
      <c r="S70" s="41">
        <f t="shared" si="10"/>
        <v>331.9048107052983</v>
      </c>
    </row>
    <row r="71" spans="1:19" ht="13.5" x14ac:dyDescent="0.25">
      <c r="A71" s="2">
        <v>43404</v>
      </c>
      <c r="B71" s="49">
        <v>79685179.709999993</v>
      </c>
      <c r="C71" s="6">
        <v>129</v>
      </c>
      <c r="D71" s="37"/>
      <c r="E71" s="4">
        <v>-3.0200000000000001E-2</v>
      </c>
      <c r="F71" s="4">
        <f t="shared" ref="F71:F76" si="28">(F70+1)*(E71+1)-1</f>
        <v>1.3105736753105548</v>
      </c>
      <c r="G71" s="40">
        <f t="shared" ref="G71:G134" si="29">G70*(1+E71)</f>
        <v>231.05736753105523</v>
      </c>
      <c r="H71" s="37"/>
      <c r="I71" s="4">
        <v>-2.87E-2</v>
      </c>
      <c r="J71" s="4">
        <f t="shared" si="11"/>
        <v>1.525531859156549</v>
      </c>
      <c r="K71" s="41">
        <f t="shared" ref="K71:K134" si="30">K70*(1+I71)</f>
        <v>252.55318591565486</v>
      </c>
      <c r="L71" s="37"/>
      <c r="M71" s="4">
        <v>-6.8400000000000002E-2</v>
      </c>
      <c r="N71" s="4">
        <f t="shared" ref="N71:N76" si="31">(N70+1)*(M71+1)-1</f>
        <v>2.1309258599270744</v>
      </c>
      <c r="O71" s="40">
        <f t="shared" ref="O71:O134" si="32">O70*(1+M71)</f>
        <v>313.09258599270771</v>
      </c>
      <c r="P71" s="37"/>
      <c r="Q71" s="4">
        <v>-2.8650096408309098E-2</v>
      </c>
      <c r="R71" s="4">
        <f t="shared" si="9"/>
        <v>2.2239570588020969</v>
      </c>
      <c r="S71" s="41">
        <f t="shared" ref="S71:S134" si="33">S70*(1+Q71)</f>
        <v>322.39570588020996</v>
      </c>
    </row>
    <row r="72" spans="1:19" ht="13.5" x14ac:dyDescent="0.25">
      <c r="A72" s="2">
        <v>43434</v>
      </c>
      <c r="B72" s="49">
        <v>81915653.959999993</v>
      </c>
      <c r="C72" s="6">
        <v>129</v>
      </c>
      <c r="D72" s="37"/>
      <c r="E72" s="4">
        <v>2.9399999999999999E-2</v>
      </c>
      <c r="F72" s="4">
        <f t="shared" si="28"/>
        <v>1.3785045413646855</v>
      </c>
      <c r="G72" s="40">
        <f t="shared" si="29"/>
        <v>237.85045413646827</v>
      </c>
      <c r="H72" s="37"/>
      <c r="I72" s="4">
        <v>2.98E-2</v>
      </c>
      <c r="J72" s="4">
        <f t="shared" si="11"/>
        <v>1.6007927085594145</v>
      </c>
      <c r="K72" s="41">
        <f t="shared" si="30"/>
        <v>260.07927085594139</v>
      </c>
      <c r="L72" s="37"/>
      <c r="M72" s="4">
        <v>2.0400000000000001E-2</v>
      </c>
      <c r="N72" s="4">
        <f t="shared" si="31"/>
        <v>2.1947967474695864</v>
      </c>
      <c r="O72" s="40">
        <f t="shared" si="32"/>
        <v>319.47967474695895</v>
      </c>
      <c r="P72" s="37"/>
      <c r="Q72" s="4">
        <v>3.4996718322652498E-2</v>
      </c>
      <c r="R72" s="4">
        <f t="shared" ref="R72:R118" si="34">(R71+1)*(Q72+1)-1</f>
        <v>2.336784975873321</v>
      </c>
      <c r="S72" s="41">
        <f t="shared" si="33"/>
        <v>333.6784975873324</v>
      </c>
    </row>
    <row r="73" spans="1:19" ht="13.5" x14ac:dyDescent="0.25">
      <c r="A73" s="2">
        <v>43465</v>
      </c>
      <c r="B73" s="49">
        <v>76201078.510000005</v>
      </c>
      <c r="C73" s="6">
        <v>128</v>
      </c>
      <c r="D73" s="36">
        <f>(1+E71)*(1+E72)*(1+E73)-1</f>
        <v>-6.7376817495999886E-2</v>
      </c>
      <c r="E73" s="4">
        <v>-6.5799999999999997E-2</v>
      </c>
      <c r="F73" s="4">
        <f t="shared" si="28"/>
        <v>1.2219989425428892</v>
      </c>
      <c r="G73" s="40">
        <f t="shared" si="29"/>
        <v>222.19989425428867</v>
      </c>
      <c r="H73" s="36">
        <f>(1+I71)*(1+I72)*(1+I73)-1</f>
        <v>-6.5071241521999945E-2</v>
      </c>
      <c r="I73" s="4">
        <v>-6.5299999999999997E-2</v>
      </c>
      <c r="J73" s="4">
        <f t="shared" ref="J73:J136" si="35">(J72+1)*(I73+1)-1</f>
        <v>1.4309609446904847</v>
      </c>
      <c r="K73" s="41">
        <f t="shared" si="30"/>
        <v>243.09609446904841</v>
      </c>
      <c r="L73" s="36">
        <f>(1+M71)*(1+M72)*(1+M73)-1</f>
        <v>-0.135234958992</v>
      </c>
      <c r="M73" s="4">
        <v>-9.0300000000000005E-2</v>
      </c>
      <c r="N73" s="4">
        <f t="shared" si="31"/>
        <v>1.9063066011730827</v>
      </c>
      <c r="O73" s="40">
        <f t="shared" si="32"/>
        <v>290.63066011730854</v>
      </c>
      <c r="P73" s="36">
        <f>(1+Q71)*(1+Q72)*(1+Q73)-1</f>
        <v>-8.0529749266525119E-2</v>
      </c>
      <c r="Q73" s="4">
        <v>-8.5417245266232691E-2</v>
      </c>
      <c r="R73" s="4">
        <f t="shared" si="34"/>
        <v>2.051765995188469</v>
      </c>
      <c r="S73" s="41">
        <f t="shared" si="33"/>
        <v>305.17659951884718</v>
      </c>
    </row>
    <row r="74" spans="1:19" ht="13.5" x14ac:dyDescent="0.25">
      <c r="A74" s="2">
        <v>43496</v>
      </c>
      <c r="B74" s="49">
        <v>79860257.480000004</v>
      </c>
      <c r="C74" s="6">
        <v>128</v>
      </c>
      <c r="D74" s="37"/>
      <c r="E74" s="4">
        <v>4.8599999999999997E-2</v>
      </c>
      <c r="F74" s="4">
        <f t="shared" si="28"/>
        <v>1.3299880911504736</v>
      </c>
      <c r="G74" s="40">
        <f t="shared" si="29"/>
        <v>232.9988091150471</v>
      </c>
      <c r="H74" s="37"/>
      <c r="I74" s="4">
        <v>5.0099999999999999E-2</v>
      </c>
      <c r="J74" s="4">
        <f t="shared" si="35"/>
        <v>1.5527520880194783</v>
      </c>
      <c r="K74" s="41">
        <f t="shared" si="30"/>
        <v>255.27520880194774</v>
      </c>
      <c r="L74" s="37"/>
      <c r="M74" s="4">
        <v>8.0100000000000005E-2</v>
      </c>
      <c r="N74" s="4">
        <f t="shared" si="31"/>
        <v>2.1391017599270468</v>
      </c>
      <c r="O74" s="40">
        <f t="shared" si="32"/>
        <v>313.91017599270498</v>
      </c>
      <c r="P74" s="37"/>
      <c r="Q74" s="4">
        <v>8.2281807785024308E-2</v>
      </c>
      <c r="R74" s="4">
        <f t="shared" si="34"/>
        <v>2.3028708182094397</v>
      </c>
      <c r="S74" s="41">
        <f t="shared" si="33"/>
        <v>330.28708182094431</v>
      </c>
    </row>
    <row r="75" spans="1:19" ht="13.5" x14ac:dyDescent="0.25">
      <c r="A75" s="2">
        <v>43524</v>
      </c>
      <c r="B75" s="49">
        <v>84984122.730000004</v>
      </c>
      <c r="C75" s="6">
        <v>130</v>
      </c>
      <c r="D75" s="37"/>
      <c r="E75" s="4">
        <v>3.6900000000000002E-2</v>
      </c>
      <c r="F75" s="4">
        <f t="shared" si="28"/>
        <v>1.4159646517139257</v>
      </c>
      <c r="G75" s="40">
        <f t="shared" si="29"/>
        <v>241.59646517139231</v>
      </c>
      <c r="H75" s="37"/>
      <c r="I75" s="4">
        <v>3.7400000000000003E-2</v>
      </c>
      <c r="J75" s="4">
        <f t="shared" si="35"/>
        <v>1.6482250161114069</v>
      </c>
      <c r="K75" s="41">
        <f t="shared" si="30"/>
        <v>264.82250161114064</v>
      </c>
      <c r="L75" s="37"/>
      <c r="M75" s="4">
        <v>3.2099999999999997E-2</v>
      </c>
      <c r="N75" s="4">
        <f t="shared" si="31"/>
        <v>2.2398669264207052</v>
      </c>
      <c r="O75" s="40">
        <f t="shared" si="32"/>
        <v>323.98669264207081</v>
      </c>
      <c r="P75" s="37"/>
      <c r="Q75" s="4">
        <v>2.4482736373977899E-2</v>
      </c>
      <c r="R75" s="4">
        <f t="shared" si="34"/>
        <v>2.3837341337289661</v>
      </c>
      <c r="S75" s="41">
        <f t="shared" si="33"/>
        <v>338.37341337289695</v>
      </c>
    </row>
    <row r="76" spans="1:19" ht="13.5" x14ac:dyDescent="0.25">
      <c r="A76" s="2">
        <v>43555</v>
      </c>
      <c r="B76" s="49">
        <v>84053872.810000002</v>
      </c>
      <c r="C76" s="6">
        <v>139</v>
      </c>
      <c r="D76" s="36">
        <f>(1+E74)*(1+E75)*(1+E76)-1</f>
        <v>9.7948814732000011E-2</v>
      </c>
      <c r="E76" s="4">
        <v>9.7999999999999997E-3</v>
      </c>
      <c r="F76" s="4">
        <f t="shared" si="28"/>
        <v>1.4396411053007223</v>
      </c>
      <c r="G76" s="40">
        <f t="shared" si="29"/>
        <v>243.96411053007196</v>
      </c>
      <c r="H76" s="36">
        <f>(1+I74)*(1+I75)*(1+I76)-1</f>
        <v>0.100594289522</v>
      </c>
      <c r="I76" s="4">
        <v>1.03E-2</v>
      </c>
      <c r="J76" s="4">
        <f t="shared" si="35"/>
        <v>1.6755017337773546</v>
      </c>
      <c r="K76" s="41">
        <f t="shared" si="30"/>
        <v>267.5501733777354</v>
      </c>
      <c r="L76" s="36">
        <f>(1+M74)*(1+M75)*(1+M76)-1</f>
        <v>0.13639777147400012</v>
      </c>
      <c r="M76" s="4">
        <v>1.9400000000000001E-2</v>
      </c>
      <c r="N76" s="4">
        <f t="shared" si="31"/>
        <v>2.3027203447932671</v>
      </c>
      <c r="O76" s="40">
        <f t="shared" si="32"/>
        <v>330.27203447932703</v>
      </c>
      <c r="P76" s="36">
        <f>(1+Q74)*(1+Q75)*(1+Q76)-1</f>
        <v>0.12233911553558374</v>
      </c>
      <c r="Q76" s="4">
        <v>1.22297475206263E-2</v>
      </c>
      <c r="R76" s="4">
        <f t="shared" si="34"/>
        <v>2.4251163478613966</v>
      </c>
      <c r="S76" s="41">
        <f t="shared" si="33"/>
        <v>342.51163478614001</v>
      </c>
    </row>
    <row r="77" spans="1:19" ht="13.5" x14ac:dyDescent="0.25">
      <c r="A77" s="2">
        <v>43585</v>
      </c>
      <c r="B77" s="49">
        <v>88462488.730000004</v>
      </c>
      <c r="C77" s="6">
        <v>142</v>
      </c>
      <c r="D77" s="37"/>
      <c r="E77" s="4">
        <v>3.2000000000000001E-2</v>
      </c>
      <c r="F77" s="4">
        <f t="shared" ref="F77:F85" si="36">(F76+1)*(E77+1)-1</f>
        <v>1.5177096206703453</v>
      </c>
      <c r="G77" s="40">
        <f t="shared" si="29"/>
        <v>251.77096206703428</v>
      </c>
      <c r="H77" s="37"/>
      <c r="I77" s="4">
        <v>3.3599999999999998E-2</v>
      </c>
      <c r="J77" s="4">
        <f t="shared" si="35"/>
        <v>1.7653985920322737</v>
      </c>
      <c r="K77" s="41">
        <f t="shared" si="30"/>
        <v>276.53985920322731</v>
      </c>
      <c r="L77" s="37"/>
      <c r="M77" s="4">
        <v>4.0500000000000001E-2</v>
      </c>
      <c r="N77" s="4">
        <f t="shared" ref="N77:N85" si="37">(N76+1)*(M77+1)-1</f>
        <v>2.4364805187573944</v>
      </c>
      <c r="O77" s="40">
        <f t="shared" si="32"/>
        <v>343.64805187573978</v>
      </c>
      <c r="P77" s="37"/>
      <c r="Q77" s="4">
        <v>1.9335844555513799E-2</v>
      </c>
      <c r="R77" s="4">
        <f t="shared" si="34"/>
        <v>2.4913438651481941</v>
      </c>
      <c r="S77" s="41">
        <f t="shared" si="33"/>
        <v>349.13438651481977</v>
      </c>
    </row>
    <row r="78" spans="1:19" ht="13.5" x14ac:dyDescent="0.25">
      <c r="A78" s="2">
        <v>43616</v>
      </c>
      <c r="B78" s="49">
        <v>92275168.620000005</v>
      </c>
      <c r="C78" s="6">
        <v>148</v>
      </c>
      <c r="D78" s="37"/>
      <c r="E78" s="4">
        <v>-4.7600000000000003E-2</v>
      </c>
      <c r="F78" s="4">
        <f t="shared" si="36"/>
        <v>1.397866642726437</v>
      </c>
      <c r="G78" s="40">
        <f t="shared" si="29"/>
        <v>239.78666427264346</v>
      </c>
      <c r="H78" s="37"/>
      <c r="I78" s="4">
        <v>-4.7199999999999999E-2</v>
      </c>
      <c r="J78" s="4">
        <f t="shared" si="35"/>
        <v>1.6348717784883502</v>
      </c>
      <c r="K78" s="41">
        <f t="shared" si="30"/>
        <v>263.48717784883496</v>
      </c>
      <c r="L78" s="37"/>
      <c r="M78" s="4">
        <v>-6.3500000000000001E-2</v>
      </c>
      <c r="N78" s="4">
        <f t="shared" si="37"/>
        <v>2.2182640058162999</v>
      </c>
      <c r="O78" s="40">
        <f t="shared" si="32"/>
        <v>321.82640058163031</v>
      </c>
      <c r="P78" s="37"/>
      <c r="Q78" s="4">
        <v>-7.1268042183610505E-2</v>
      </c>
      <c r="R78" s="4">
        <f t="shared" si="34"/>
        <v>2.2425226232893229</v>
      </c>
      <c r="S78" s="41">
        <f t="shared" si="33"/>
        <v>324.2522623289326</v>
      </c>
    </row>
    <row r="79" spans="1:19" ht="13.5" x14ac:dyDescent="0.25">
      <c r="A79" s="2">
        <v>43646</v>
      </c>
      <c r="B79" s="49">
        <v>100726817.66</v>
      </c>
      <c r="C79" s="6">
        <v>156</v>
      </c>
      <c r="D79" s="36">
        <f>(1+E77)*(1+E78)*(1+E79)-1</f>
        <v>4.1652832640000081E-2</v>
      </c>
      <c r="E79" s="4">
        <v>5.9799999999999999E-2</v>
      </c>
      <c r="F79" s="4">
        <f t="shared" si="36"/>
        <v>1.5412590679614779</v>
      </c>
      <c r="G79" s="40">
        <f t="shared" si="29"/>
        <v>254.12590679614755</v>
      </c>
      <c r="H79" s="36">
        <f>(1+I77)*(1+I78)*(1+I79)-1</f>
        <v>4.4198369023999984E-2</v>
      </c>
      <c r="I79" s="4">
        <v>6.0299999999999999E-2</v>
      </c>
      <c r="J79" s="4">
        <f t="shared" si="35"/>
        <v>1.7937545467311979</v>
      </c>
      <c r="K79" s="41">
        <f t="shared" si="30"/>
        <v>279.37545467311969</v>
      </c>
      <c r="L79" s="36">
        <f>(1+M77)*(1+M78)*(1+M79)-1</f>
        <v>4.3125441624999983E-2</v>
      </c>
      <c r="M79" s="4">
        <v>7.0499999999999993E-2</v>
      </c>
      <c r="N79" s="4">
        <f t="shared" si="37"/>
        <v>2.4451516182263489</v>
      </c>
      <c r="O79" s="40">
        <f t="shared" si="32"/>
        <v>344.51516182263526</v>
      </c>
      <c r="P79" s="36">
        <f>(1+Q77)*(1+Q78)*(1+Q79)-1</f>
        <v>1.6327904843824959E-2</v>
      </c>
      <c r="Q79" s="4">
        <v>7.3559609627957601E-2</v>
      </c>
      <c r="R79" s="4">
        <f t="shared" si="34"/>
        <v>2.4810413216683065</v>
      </c>
      <c r="S79" s="41">
        <f t="shared" si="33"/>
        <v>348.10413216683099</v>
      </c>
    </row>
    <row r="80" spans="1:19" ht="13.5" x14ac:dyDescent="0.25">
      <c r="A80" s="2">
        <v>43677</v>
      </c>
      <c r="B80" s="49">
        <v>102639955.87</v>
      </c>
      <c r="C80" s="6">
        <v>161</v>
      </c>
      <c r="D80" s="37"/>
      <c r="E80" s="4">
        <v>8.6999999999999994E-3</v>
      </c>
      <c r="F80" s="4">
        <f t="shared" si="36"/>
        <v>1.5633680218527428</v>
      </c>
      <c r="G80" s="40">
        <f t="shared" si="29"/>
        <v>256.336802185274</v>
      </c>
      <c r="H80" s="37"/>
      <c r="I80" s="4">
        <v>1.0200000000000001E-2</v>
      </c>
      <c r="J80" s="4">
        <f t="shared" si="35"/>
        <v>1.8222508431078563</v>
      </c>
      <c r="K80" s="41">
        <f t="shared" si="30"/>
        <v>282.22508431078552</v>
      </c>
      <c r="L80" s="37"/>
      <c r="M80" s="4">
        <v>1.44E-2</v>
      </c>
      <c r="N80" s="4">
        <f t="shared" si="37"/>
        <v>2.4947618015288082</v>
      </c>
      <c r="O80" s="40">
        <f t="shared" si="32"/>
        <v>349.47618015288123</v>
      </c>
      <c r="P80" s="37"/>
      <c r="Q80" s="4">
        <v>-1.63381800682327E-3</v>
      </c>
      <c r="R80" s="4">
        <f t="shared" si="34"/>
        <v>2.475353933674469</v>
      </c>
      <c r="S80" s="41">
        <f t="shared" si="33"/>
        <v>347.53539336744723</v>
      </c>
    </row>
    <row r="81" spans="1:19" ht="13.5" x14ac:dyDescent="0.25">
      <c r="A81" s="2">
        <v>43708</v>
      </c>
      <c r="B81" s="49">
        <v>102064992.98999999</v>
      </c>
      <c r="C81" s="6">
        <v>164</v>
      </c>
      <c r="D81" s="37"/>
      <c r="E81" s="4">
        <v>-1.17E-2</v>
      </c>
      <c r="F81" s="4">
        <f t="shared" si="36"/>
        <v>1.5333766159970654</v>
      </c>
      <c r="G81" s="40">
        <f t="shared" si="29"/>
        <v>253.33766159970628</v>
      </c>
      <c r="H81" s="37"/>
      <c r="I81" s="4">
        <v>-1.1299999999999999E-2</v>
      </c>
      <c r="J81" s="4">
        <f t="shared" si="35"/>
        <v>1.7903594085807377</v>
      </c>
      <c r="K81" s="41">
        <f t="shared" si="30"/>
        <v>279.03594085807367</v>
      </c>
      <c r="L81" s="37"/>
      <c r="M81" s="4">
        <v>-1.5800000000000002E-2</v>
      </c>
      <c r="N81" s="4">
        <f t="shared" si="37"/>
        <v>2.439544565064653</v>
      </c>
      <c r="O81" s="40">
        <f t="shared" si="32"/>
        <v>343.9544565064657</v>
      </c>
      <c r="P81" s="37"/>
      <c r="Q81" s="4">
        <v>-4.9745999864721703E-2</v>
      </c>
      <c r="R81" s="4">
        <f t="shared" si="34"/>
        <v>2.3024689773600389</v>
      </c>
      <c r="S81" s="41">
        <f t="shared" si="33"/>
        <v>330.2468977360042</v>
      </c>
    </row>
    <row r="82" spans="1:19" ht="13.5" x14ac:dyDescent="0.25">
      <c r="A82" s="2">
        <v>43738</v>
      </c>
      <c r="B82" s="49">
        <v>105056664.56</v>
      </c>
      <c r="C82" s="6">
        <v>166</v>
      </c>
      <c r="D82" s="36">
        <f>(1+E80)*(1+E81)*(1+E82)-1</f>
        <v>2.3814461669999787E-2</v>
      </c>
      <c r="E82" s="4">
        <v>2.7E-2</v>
      </c>
      <c r="F82" s="4">
        <f t="shared" si="36"/>
        <v>1.601777784628986</v>
      </c>
      <c r="G82" s="40">
        <f t="shared" si="29"/>
        <v>260.17777846289835</v>
      </c>
      <c r="H82" s="36">
        <f>(1+I80)*(1+I81)*(1+I82)-1</f>
        <v>2.6251320350000107E-2</v>
      </c>
      <c r="I82" s="4">
        <v>2.75E-2</v>
      </c>
      <c r="J82" s="4">
        <f t="shared" si="35"/>
        <v>1.8670942923167084</v>
      </c>
      <c r="K82" s="41">
        <f t="shared" si="30"/>
        <v>286.7094292316707</v>
      </c>
      <c r="L82" s="36">
        <f>(1+M80)*(1+M81)*(1+M82)-1</f>
        <v>1.7042045375999848E-2</v>
      </c>
      <c r="M82" s="4">
        <v>1.8700000000000001E-2</v>
      </c>
      <c r="N82" s="4">
        <f t="shared" si="37"/>
        <v>2.5038640484313617</v>
      </c>
      <c r="O82" s="40">
        <f t="shared" si="32"/>
        <v>350.38640484313657</v>
      </c>
      <c r="P82" s="36">
        <f>(1+Q80)*(1+Q81)*(1+Q82)-1</f>
        <v>1.1048565083896067E-2</v>
      </c>
      <c r="Q82" s="4">
        <v>6.5718363260431192E-2</v>
      </c>
      <c r="R82" s="4">
        <f t="shared" si="34"/>
        <v>2.5195018332704908</v>
      </c>
      <c r="S82" s="41">
        <f t="shared" si="33"/>
        <v>351.95018332704939</v>
      </c>
    </row>
    <row r="83" spans="1:19" ht="13.5" x14ac:dyDescent="0.25">
      <c r="A83" s="2">
        <v>43769</v>
      </c>
      <c r="B83" s="49">
        <v>111834094.23</v>
      </c>
      <c r="C83" s="6">
        <v>168</v>
      </c>
      <c r="D83" s="37"/>
      <c r="E83" s="4">
        <v>8.3999999999999995E-3</v>
      </c>
      <c r="F83" s="4">
        <f t="shared" si="36"/>
        <v>1.6236327180198695</v>
      </c>
      <c r="G83" s="40">
        <f t="shared" si="29"/>
        <v>262.36327180198668</v>
      </c>
      <c r="H83" s="37"/>
      <c r="I83" s="4">
        <v>0.01</v>
      </c>
      <c r="J83" s="4">
        <f t="shared" si="35"/>
        <v>1.8957652352398755</v>
      </c>
      <c r="K83" s="41">
        <f t="shared" si="30"/>
        <v>289.57652352398742</v>
      </c>
      <c r="L83" s="37"/>
      <c r="M83" s="4">
        <v>2.1700000000000001E-2</v>
      </c>
      <c r="N83" s="4">
        <f t="shared" si="37"/>
        <v>2.5798978982823222</v>
      </c>
      <c r="O83" s="40">
        <f t="shared" si="32"/>
        <v>357.98978982823263</v>
      </c>
      <c r="P83" s="37"/>
      <c r="Q83" s="4">
        <v>7.8282251884309595E-3</v>
      </c>
      <c r="R83" s="4">
        <f t="shared" si="34"/>
        <v>2.547053286172428</v>
      </c>
      <c r="S83" s="41">
        <f t="shared" si="33"/>
        <v>354.70532861724308</v>
      </c>
    </row>
    <row r="84" spans="1:19" ht="13.5" x14ac:dyDescent="0.25">
      <c r="A84" s="2">
        <v>43799</v>
      </c>
      <c r="B84" s="49">
        <v>113607235.22</v>
      </c>
      <c r="C84" s="6">
        <v>170</v>
      </c>
      <c r="D84" s="37"/>
      <c r="E84" s="4">
        <v>1.44E-2</v>
      </c>
      <c r="F84" s="4">
        <f t="shared" si="36"/>
        <v>1.6614130291593554</v>
      </c>
      <c r="G84" s="40">
        <f t="shared" si="29"/>
        <v>266.14130291593528</v>
      </c>
      <c r="H84" s="37"/>
      <c r="I84" s="4">
        <v>1.47E-2</v>
      </c>
      <c r="J84" s="4">
        <f t="shared" si="35"/>
        <v>1.9383329841979013</v>
      </c>
      <c r="K84" s="41">
        <f t="shared" si="30"/>
        <v>293.83329841979003</v>
      </c>
      <c r="L84" s="37"/>
      <c r="M84" s="4">
        <v>3.6299999999999999E-2</v>
      </c>
      <c r="N84" s="4">
        <f t="shared" si="37"/>
        <v>2.7098481919899706</v>
      </c>
      <c r="O84" s="40">
        <f t="shared" si="32"/>
        <v>370.98481919899746</v>
      </c>
      <c r="P84" s="37"/>
      <c r="Q84" s="4">
        <v>1.6056759279010398E-2</v>
      </c>
      <c r="R84" s="4">
        <f t="shared" si="34"/>
        <v>2.6040074669383215</v>
      </c>
      <c r="S84" s="41">
        <f t="shared" si="33"/>
        <v>360.40074669383245</v>
      </c>
    </row>
    <row r="85" spans="1:19" ht="13.5" x14ac:dyDescent="0.25">
      <c r="A85" s="2">
        <v>43830</v>
      </c>
      <c r="B85" s="49">
        <v>116791864.55</v>
      </c>
      <c r="C85" s="6">
        <v>169</v>
      </c>
      <c r="D85" s="36">
        <f>(1+E83)*(1+E84)*(1+E85)-1</f>
        <v>5.2176499455999892E-2</v>
      </c>
      <c r="E85" s="4">
        <v>2.86E-2</v>
      </c>
      <c r="F85" s="4">
        <f t="shared" si="36"/>
        <v>1.7375294417933129</v>
      </c>
      <c r="G85" s="40">
        <f t="shared" si="29"/>
        <v>273.752944179331</v>
      </c>
      <c r="H85" s="36">
        <f>(1+I83)*(1+I84)*(1+I85)-1</f>
        <v>5.4670047699999724E-2</v>
      </c>
      <c r="I85" s="4">
        <v>2.9100000000000001E-2</v>
      </c>
      <c r="J85" s="4">
        <f t="shared" si="35"/>
        <v>2.0238384740380599</v>
      </c>
      <c r="K85" s="41">
        <f t="shared" si="30"/>
        <v>302.38384740380587</v>
      </c>
      <c r="L85" s="36">
        <f>(1+M83)*(1+M84)*(1+M85)-1</f>
        <v>9.0763098842000067E-2</v>
      </c>
      <c r="M85" s="4">
        <v>3.0200000000000001E-2</v>
      </c>
      <c r="N85" s="4">
        <f t="shared" si="37"/>
        <v>2.8218856073880678</v>
      </c>
      <c r="O85" s="40">
        <f t="shared" si="32"/>
        <v>382.18856073880715</v>
      </c>
      <c r="P85" s="36">
        <f>(1+Q83)*(1+Q84)*(1+Q85)-1</f>
        <v>5.3428856159501992E-2</v>
      </c>
      <c r="Q85" s="4">
        <v>2.8728387630961E-2</v>
      </c>
      <c r="R85" s="4">
        <f t="shared" si="34"/>
        <v>2.7075447904734036</v>
      </c>
      <c r="S85" s="41">
        <f t="shared" si="33"/>
        <v>370.75447904734062</v>
      </c>
    </row>
    <row r="86" spans="1:19" ht="13.5" x14ac:dyDescent="0.25">
      <c r="A86" s="2">
        <v>43861</v>
      </c>
      <c r="B86" s="49">
        <v>112521108.86</v>
      </c>
      <c r="C86" s="6">
        <v>168</v>
      </c>
      <c r="D86" s="37"/>
      <c r="E86" s="4">
        <v>-3.3099999999999997E-2</v>
      </c>
      <c r="F86" s="4">
        <f t="shared" ref="F86:F91" si="38">(F85+1)*(E86+1)-1</f>
        <v>1.6469172172699542</v>
      </c>
      <c r="G86" s="40">
        <f t="shared" si="29"/>
        <v>264.69172172699513</v>
      </c>
      <c r="H86" s="37"/>
      <c r="I86" s="4">
        <v>-3.1600000000000003E-2</v>
      </c>
      <c r="J86" s="4">
        <f t="shared" si="35"/>
        <v>1.9282851782584576</v>
      </c>
      <c r="K86" s="41">
        <f t="shared" si="30"/>
        <v>292.82851782584561</v>
      </c>
      <c r="L86" s="37"/>
      <c r="M86" s="4">
        <v>-4.0000000000000002E-4</v>
      </c>
      <c r="N86" s="4">
        <f t="shared" ref="N86:N91" si="39">(N85+1)*(M86+1)-1</f>
        <v>2.8203568531451126</v>
      </c>
      <c r="O86" s="40">
        <f t="shared" si="32"/>
        <v>382.03568531451162</v>
      </c>
      <c r="P86" s="37"/>
      <c r="Q86" s="4">
        <v>-3.3926994808380198E-2</v>
      </c>
      <c r="R86" s="4">
        <f t="shared" si="34"/>
        <v>2.5817589376151751</v>
      </c>
      <c r="S86" s="41">
        <f t="shared" si="33"/>
        <v>358.17589376151778</v>
      </c>
    </row>
    <row r="87" spans="1:19" ht="13.5" x14ac:dyDescent="0.25">
      <c r="A87" s="2">
        <v>43890</v>
      </c>
      <c r="B87" s="49">
        <v>102327887.45</v>
      </c>
      <c r="C87" s="6">
        <v>168</v>
      </c>
      <c r="D87" s="37"/>
      <c r="E87" s="4">
        <v>-8.6900000000000005E-2</v>
      </c>
      <c r="F87" s="4">
        <f t="shared" si="38"/>
        <v>1.4169001110891952</v>
      </c>
      <c r="G87" s="40">
        <f t="shared" si="29"/>
        <v>241.69001110891926</v>
      </c>
      <c r="H87" s="37"/>
      <c r="I87" s="4">
        <v>-8.6599999999999996E-2</v>
      </c>
      <c r="J87" s="4">
        <f t="shared" si="35"/>
        <v>1.6746956818212753</v>
      </c>
      <c r="K87" s="41">
        <f t="shared" si="30"/>
        <v>267.46956818212738</v>
      </c>
      <c r="L87" s="37"/>
      <c r="M87" s="4">
        <v>-8.2299999999999998E-2</v>
      </c>
      <c r="N87" s="4">
        <f t="shared" si="39"/>
        <v>2.5059414841312697</v>
      </c>
      <c r="O87" s="40">
        <f t="shared" si="32"/>
        <v>350.5941484131273</v>
      </c>
      <c r="P87" s="37"/>
      <c r="Q87" s="4">
        <v>-0.104502119202752</v>
      </c>
      <c r="R87" s="4">
        <f t="shared" si="34"/>
        <v>2.2074575381609916</v>
      </c>
      <c r="S87" s="41">
        <f t="shared" si="33"/>
        <v>320.74575381609941</v>
      </c>
    </row>
    <row r="88" spans="1:19" ht="13.5" x14ac:dyDescent="0.25">
      <c r="A88" s="2">
        <v>43921</v>
      </c>
      <c r="B88" s="49">
        <v>90272578.349999994</v>
      </c>
      <c r="C88" s="6">
        <v>167</v>
      </c>
      <c r="D88" s="36">
        <f>(1+E86)*(1+E87)*(1+E88)-1</f>
        <v>-0.21353371178799996</v>
      </c>
      <c r="E88" s="4">
        <v>-0.10920000000000001</v>
      </c>
      <c r="F88" s="4">
        <f t="shared" si="38"/>
        <v>1.1529746189582553</v>
      </c>
      <c r="G88" s="40">
        <f t="shared" si="29"/>
        <v>215.29746189582528</v>
      </c>
      <c r="H88" s="36">
        <f>(1+I86)*(1+I87)*(1+I88)-1</f>
        <v>-0.21170101772799998</v>
      </c>
      <c r="I88" s="4">
        <v>-0.10879999999999999</v>
      </c>
      <c r="J88" s="4">
        <f t="shared" si="35"/>
        <v>1.3836887916391203</v>
      </c>
      <c r="K88" s="41">
        <f t="shared" si="30"/>
        <v>238.36887916391191</v>
      </c>
      <c r="L88" s="36">
        <f>(1+M86)*(1+M87)*(1+M88)-1</f>
        <v>-0.19595769561999998</v>
      </c>
      <c r="M88" s="4">
        <v>-0.1235</v>
      </c>
      <c r="N88" s="4">
        <f t="shared" si="39"/>
        <v>2.0729577108410582</v>
      </c>
      <c r="O88" s="40">
        <f t="shared" si="32"/>
        <v>307.29577108410609</v>
      </c>
      <c r="P88" s="36">
        <f>(1+Q86)*(1+Q87)*(1+Q88)-1</f>
        <v>-0.36728519136667015</v>
      </c>
      <c r="Q88" s="4">
        <v>-0.26863615037944899</v>
      </c>
      <c r="R88" s="4">
        <f t="shared" si="34"/>
        <v>1.3458184926038781</v>
      </c>
      <c r="S88" s="41">
        <f t="shared" si="33"/>
        <v>234.581849260388</v>
      </c>
    </row>
    <row r="89" spans="1:19" ht="13.5" x14ac:dyDescent="0.25">
      <c r="A89" s="2">
        <v>43951</v>
      </c>
      <c r="B89" s="49">
        <v>96715537.900000006</v>
      </c>
      <c r="C89" s="6">
        <v>164</v>
      </c>
      <c r="D89" s="37"/>
      <c r="E89" s="4">
        <v>9.5200000000000007E-2</v>
      </c>
      <c r="F89" s="4">
        <f t="shared" si="38"/>
        <v>1.3579378026830811</v>
      </c>
      <c r="G89" s="40">
        <f t="shared" si="29"/>
        <v>235.79378026830784</v>
      </c>
      <c r="H89" s="37"/>
      <c r="I89" s="4">
        <v>9.69E-2</v>
      </c>
      <c r="J89" s="4">
        <f t="shared" si="35"/>
        <v>1.614668235548951</v>
      </c>
      <c r="K89" s="41">
        <f t="shared" si="30"/>
        <v>261.46682355489497</v>
      </c>
      <c r="L89" s="37"/>
      <c r="M89" s="4">
        <v>0.12820000000000001</v>
      </c>
      <c r="N89" s="4">
        <f t="shared" si="39"/>
        <v>2.4669108893708822</v>
      </c>
      <c r="O89" s="40">
        <f t="shared" si="32"/>
        <v>346.69108893708852</v>
      </c>
      <c r="P89" s="37"/>
      <c r="Q89" s="4">
        <v>0.132157923542048</v>
      </c>
      <c r="R89" s="4">
        <f t="shared" si="34"/>
        <v>1.6558369935929438</v>
      </c>
      <c r="S89" s="41">
        <f t="shared" si="33"/>
        <v>265.5836993592946</v>
      </c>
    </row>
    <row r="90" spans="1:19" ht="13.5" x14ac:dyDescent="0.25">
      <c r="A90" s="2">
        <v>43982</v>
      </c>
      <c r="B90" s="49">
        <v>97345656.209999993</v>
      </c>
      <c r="C90" s="6">
        <v>164</v>
      </c>
      <c r="D90" s="37"/>
      <c r="E90" s="4">
        <v>1.6899999999999998E-2</v>
      </c>
      <c r="F90" s="4">
        <f t="shared" si="38"/>
        <v>1.3977869515484249</v>
      </c>
      <c r="G90" s="40">
        <f t="shared" si="29"/>
        <v>239.77869515484221</v>
      </c>
      <c r="H90" s="37"/>
      <c r="I90" s="4">
        <v>1.72E-2</v>
      </c>
      <c r="J90" s="4">
        <f t="shared" si="35"/>
        <v>1.6596405292003933</v>
      </c>
      <c r="K90" s="41">
        <f t="shared" si="30"/>
        <v>265.96405292003919</v>
      </c>
      <c r="L90" s="37"/>
      <c r="M90" s="4">
        <v>4.7600000000000003E-2</v>
      </c>
      <c r="N90" s="4">
        <f t="shared" si="39"/>
        <v>2.6319358477049364</v>
      </c>
      <c r="O90" s="40">
        <f t="shared" si="32"/>
        <v>363.19358477049394</v>
      </c>
      <c r="P90" s="37"/>
      <c r="Q90" s="4">
        <v>8.6190992109169695E-3</v>
      </c>
      <c r="R90" s="4">
        <f t="shared" si="34"/>
        <v>1.6787279161287447</v>
      </c>
      <c r="S90" s="41">
        <f t="shared" si="33"/>
        <v>267.87279161287472</v>
      </c>
    </row>
    <row r="91" spans="1:19" ht="13.5" x14ac:dyDescent="0.25">
      <c r="A91" s="2">
        <v>44012</v>
      </c>
      <c r="B91" s="49">
        <v>97184868.680000007</v>
      </c>
      <c r="C91" s="6">
        <v>165</v>
      </c>
      <c r="D91" s="36">
        <f>(1+E89)*(1+E90)*(1+E91)-1</f>
        <v>0.11927742439999989</v>
      </c>
      <c r="E91" s="4">
        <v>5.0000000000000001E-3</v>
      </c>
      <c r="F91" s="4">
        <f t="shared" si="38"/>
        <v>1.4097758863061669</v>
      </c>
      <c r="G91" s="40">
        <f t="shared" si="29"/>
        <v>240.9775886306164</v>
      </c>
      <c r="H91" s="36">
        <f>(1+I89)*(1+I90)*(1+I91)-1</f>
        <v>0.12190339674000028</v>
      </c>
      <c r="I91" s="4">
        <v>5.4999999999999997E-3</v>
      </c>
      <c r="J91" s="4">
        <f t="shared" si="35"/>
        <v>1.6742685521109957</v>
      </c>
      <c r="K91" s="41">
        <f t="shared" si="30"/>
        <v>267.42685521109945</v>
      </c>
      <c r="L91" s="36">
        <f>(1+M89)*(1+M90)*(1+M91)-1</f>
        <v>0.2054221761680004</v>
      </c>
      <c r="M91" s="4">
        <v>1.9900000000000001E-2</v>
      </c>
      <c r="N91" s="4">
        <f t="shared" si="39"/>
        <v>2.7042113710742646</v>
      </c>
      <c r="O91" s="40">
        <f t="shared" si="32"/>
        <v>370.42113710742677</v>
      </c>
      <c r="P91" s="36">
        <f>(1+Q89)*(1+Q90)*(1+Q91)-1</f>
        <v>0.14913953488530263</v>
      </c>
      <c r="Q91" s="4">
        <v>6.3257097838835792E-3</v>
      </c>
      <c r="R91" s="4">
        <f t="shared" si="34"/>
        <v>1.6956727715161626</v>
      </c>
      <c r="S91" s="41">
        <f t="shared" si="33"/>
        <v>269.56727715161651</v>
      </c>
    </row>
    <row r="92" spans="1:19" ht="13.5" x14ac:dyDescent="0.25">
      <c r="A92" s="2">
        <v>44043</v>
      </c>
      <c r="B92" s="49">
        <v>95731314.290000007</v>
      </c>
      <c r="C92" s="6">
        <v>157</v>
      </c>
      <c r="D92" s="37"/>
      <c r="E92" s="4">
        <v>3.4200000000000001E-2</v>
      </c>
      <c r="F92" s="4">
        <f t="shared" ref="F92:F97" si="40">(F91+1)*(E92+1)-1</f>
        <v>1.4921902216178378</v>
      </c>
      <c r="G92" s="40">
        <f t="shared" si="29"/>
        <v>249.21902216178347</v>
      </c>
      <c r="H92" s="37"/>
      <c r="I92" s="4">
        <v>3.56E-2</v>
      </c>
      <c r="J92" s="4">
        <f t="shared" si="35"/>
        <v>1.7694725125661472</v>
      </c>
      <c r="K92" s="41">
        <f t="shared" si="30"/>
        <v>276.94725125661461</v>
      </c>
      <c r="L92" s="37"/>
      <c r="M92" s="4">
        <v>5.6399999999999999E-2</v>
      </c>
      <c r="N92" s="4">
        <f t="shared" ref="N92:N97" si="41">(N91+1)*(M92+1)-1</f>
        <v>2.9131288924028533</v>
      </c>
      <c r="O92" s="40">
        <f t="shared" si="32"/>
        <v>391.31288924028564</v>
      </c>
      <c r="P92" s="37"/>
      <c r="Q92" s="4">
        <v>5.2043104600207899E-3</v>
      </c>
      <c r="R92" s="4">
        <f t="shared" si="34"/>
        <v>1.7097018895177576</v>
      </c>
      <c r="S92" s="41">
        <f t="shared" si="33"/>
        <v>270.97018895177598</v>
      </c>
    </row>
    <row r="93" spans="1:19" ht="13.5" x14ac:dyDescent="0.25">
      <c r="A93" s="2">
        <v>44074</v>
      </c>
      <c r="B93" s="49">
        <v>99535880.200000003</v>
      </c>
      <c r="C93" s="6">
        <v>158</v>
      </c>
      <c r="D93" s="37"/>
      <c r="E93" s="4">
        <v>3.7600000000000001E-2</v>
      </c>
      <c r="F93" s="4">
        <f t="shared" si="40"/>
        <v>1.5858965739506687</v>
      </c>
      <c r="G93" s="40">
        <f t="shared" si="29"/>
        <v>258.58965739506652</v>
      </c>
      <c r="H93" s="37"/>
      <c r="I93" s="4">
        <v>3.7999999999999999E-2</v>
      </c>
      <c r="J93" s="4">
        <f t="shared" si="35"/>
        <v>1.8747124680436609</v>
      </c>
      <c r="K93" s="41">
        <f t="shared" si="30"/>
        <v>287.47124680436599</v>
      </c>
      <c r="L93" s="37"/>
      <c r="M93" s="4">
        <v>7.1900000000000006E-2</v>
      </c>
      <c r="N93" s="4">
        <f t="shared" si="41"/>
        <v>3.1944828597666186</v>
      </c>
      <c r="O93" s="40">
        <f t="shared" si="32"/>
        <v>419.44828597666219</v>
      </c>
      <c r="P93" s="37"/>
      <c r="Q93" s="4">
        <v>1.6545016811541101E-2</v>
      </c>
      <c r="R93" s="4">
        <f t="shared" si="34"/>
        <v>1.7545339528340933</v>
      </c>
      <c r="S93" s="41">
        <f t="shared" si="33"/>
        <v>275.45339528340958</v>
      </c>
    </row>
    <row r="94" spans="1:19" ht="13.5" x14ac:dyDescent="0.25">
      <c r="A94" s="2">
        <v>44104</v>
      </c>
      <c r="B94" s="49">
        <v>99403836.439999998</v>
      </c>
      <c r="C94" s="6">
        <v>159</v>
      </c>
      <c r="D94" s="36">
        <f>(1+E92)*(1+E93)*(1+E94)-1</f>
        <v>5.0014572720000094E-2</v>
      </c>
      <c r="E94" s="4">
        <v>-2.1499999999999998E-2</v>
      </c>
      <c r="F94" s="4">
        <f t="shared" si="40"/>
        <v>1.5302997976107293</v>
      </c>
      <c r="G94" s="40">
        <f t="shared" si="29"/>
        <v>253.02997976107261</v>
      </c>
      <c r="H94" s="36">
        <f>(1+I92)*(1+I93)*(1+I94)-1</f>
        <v>5.2378791200000219E-2</v>
      </c>
      <c r="I94" s="4">
        <v>-2.1000000000000001E-2</v>
      </c>
      <c r="J94" s="4">
        <f t="shared" si="35"/>
        <v>1.8143435062147439</v>
      </c>
      <c r="K94" s="41">
        <f t="shared" si="30"/>
        <v>281.43435062147432</v>
      </c>
      <c r="L94" s="36">
        <f>(1+M92)*(1+M93)*(1+M94)-1</f>
        <v>8.9325663920000187E-2</v>
      </c>
      <c r="M94" s="4">
        <v>-3.7999999999999999E-2</v>
      </c>
      <c r="N94" s="4">
        <f t="shared" si="41"/>
        <v>3.0350925110954874</v>
      </c>
      <c r="O94" s="40">
        <f t="shared" si="32"/>
        <v>403.50925110954904</v>
      </c>
      <c r="P94" s="36">
        <f>(1+Q92)*(1+Q93)*(1+Q94)-1</f>
        <v>-8.3209762565269463E-3</v>
      </c>
      <c r="Q94" s="4">
        <v>-2.95120016079101E-2</v>
      </c>
      <c r="R94" s="4">
        <f t="shared" si="34"/>
        <v>1.6732421423890105</v>
      </c>
      <c r="S94" s="41">
        <f t="shared" si="33"/>
        <v>267.32421423890128</v>
      </c>
    </row>
    <row r="95" spans="1:19" ht="13.5" x14ac:dyDescent="0.25">
      <c r="A95" s="2">
        <v>44135</v>
      </c>
      <c r="B95" s="49">
        <v>97013704.629999995</v>
      </c>
      <c r="C95" s="6">
        <v>156</v>
      </c>
      <c r="D95" s="37"/>
      <c r="E95" s="4">
        <v>-2.9000000000000001E-2</v>
      </c>
      <c r="F95" s="4">
        <f t="shared" si="40"/>
        <v>1.4569211034800182</v>
      </c>
      <c r="G95" s="40">
        <f t="shared" si="29"/>
        <v>245.69211034800151</v>
      </c>
      <c r="H95" s="37"/>
      <c r="I95" s="4">
        <v>-2.76E-2</v>
      </c>
      <c r="J95" s="4">
        <f t="shared" si="35"/>
        <v>1.736667625443217</v>
      </c>
      <c r="K95" s="41">
        <f t="shared" si="30"/>
        <v>273.66676254432167</v>
      </c>
      <c r="L95" s="37"/>
      <c r="M95" s="4">
        <v>-2.6599999999999999E-2</v>
      </c>
      <c r="N95" s="4">
        <f t="shared" si="41"/>
        <v>2.9277590503003474</v>
      </c>
      <c r="O95" s="40">
        <f t="shared" si="32"/>
        <v>392.77590503003506</v>
      </c>
      <c r="P95" s="37"/>
      <c r="Q95" s="4">
        <v>6.2835361471635896E-3</v>
      </c>
      <c r="R95" s="4">
        <f t="shared" si="34"/>
        <v>1.690039556020833</v>
      </c>
      <c r="S95" s="41">
        <f t="shared" si="33"/>
        <v>269.00395560208352</v>
      </c>
    </row>
    <row r="96" spans="1:19" ht="13.5" x14ac:dyDescent="0.25">
      <c r="A96" s="2">
        <v>44165</v>
      </c>
      <c r="B96" s="49">
        <v>107210889.88</v>
      </c>
      <c r="C96" s="6">
        <v>156</v>
      </c>
      <c r="D96" s="37"/>
      <c r="E96" s="4">
        <v>0.1069</v>
      </c>
      <c r="F96" s="4">
        <f t="shared" si="40"/>
        <v>1.7195659694420322</v>
      </c>
      <c r="G96" s="40">
        <f t="shared" si="29"/>
        <v>271.95659694420289</v>
      </c>
      <c r="H96" s="37"/>
      <c r="I96" s="4">
        <v>0.10730000000000001</v>
      </c>
      <c r="J96" s="4">
        <f t="shared" si="35"/>
        <v>2.0303120616532739</v>
      </c>
      <c r="K96" s="41">
        <f t="shared" si="30"/>
        <v>303.03120616532738</v>
      </c>
      <c r="L96" s="37"/>
      <c r="M96" s="4">
        <v>0.1095</v>
      </c>
      <c r="N96" s="4">
        <f t="shared" si="41"/>
        <v>3.357848666308235</v>
      </c>
      <c r="O96" s="40">
        <f t="shared" si="32"/>
        <v>435.7848666308239</v>
      </c>
      <c r="P96" s="37"/>
      <c r="Q96" s="4">
        <v>0.16670705692399002</v>
      </c>
      <c r="R96" s="4">
        <f t="shared" si="34"/>
        <v>2.138488133414183</v>
      </c>
      <c r="S96" s="41">
        <f t="shared" si="33"/>
        <v>313.84881334141858</v>
      </c>
    </row>
    <row r="97" spans="1:19" ht="13.5" x14ac:dyDescent="0.25">
      <c r="A97" s="2">
        <v>44196</v>
      </c>
      <c r="B97" s="49">
        <v>107282524.52</v>
      </c>
      <c r="C97" s="6">
        <v>157</v>
      </c>
      <c r="D97" s="36">
        <f>(1+E95)*(1+E96)*(1+E97)-1</f>
        <v>0.10639901705999999</v>
      </c>
      <c r="E97" s="4">
        <v>2.9399999999999999E-2</v>
      </c>
      <c r="F97" s="4">
        <f t="shared" si="40"/>
        <v>1.7995212089436281</v>
      </c>
      <c r="G97" s="40">
        <f t="shared" si="29"/>
        <v>279.95212089436245</v>
      </c>
      <c r="H97" s="36">
        <f>(1+I95)*(1+I96)*(1+I97)-1</f>
        <v>0.10882532789600008</v>
      </c>
      <c r="I97" s="4">
        <v>2.98E-2</v>
      </c>
      <c r="J97" s="4">
        <f t="shared" si="35"/>
        <v>2.1206153610905418</v>
      </c>
      <c r="K97" s="41">
        <f t="shared" si="30"/>
        <v>312.06153610905415</v>
      </c>
      <c r="L97" s="36">
        <f>(1+M95)*(1+M96)*(1+M97)-1</f>
        <v>0.12145881232</v>
      </c>
      <c r="M97" s="4">
        <v>3.8399999999999997E-2</v>
      </c>
      <c r="N97" s="4">
        <f t="shared" si="41"/>
        <v>3.5251900550944715</v>
      </c>
      <c r="O97" s="40">
        <f t="shared" si="32"/>
        <v>452.51900550944754</v>
      </c>
      <c r="P97" s="36">
        <f>(1+Q95)*(1+Q96)*(1+Q97)-1</f>
        <v>0.22620159478975355</v>
      </c>
      <c r="Q97" s="4">
        <v>4.4430833864808499E-2</v>
      </c>
      <c r="R97" s="4">
        <f t="shared" si="34"/>
        <v>2.2779337782565814</v>
      </c>
      <c r="S97" s="41">
        <f t="shared" si="33"/>
        <v>327.79337782565847</v>
      </c>
    </row>
    <row r="98" spans="1:19" ht="13.5" x14ac:dyDescent="0.25">
      <c r="A98" s="2">
        <v>44227</v>
      </c>
      <c r="B98" s="49">
        <v>108344093.95</v>
      </c>
      <c r="C98" s="6">
        <v>158</v>
      </c>
      <c r="D98" s="37"/>
      <c r="E98" s="4">
        <v>-1.66E-2</v>
      </c>
      <c r="F98" s="4">
        <f t="shared" ref="F98:F103" si="42">(F97+1)*(E98+1)-1</f>
        <v>1.7530491568751638</v>
      </c>
      <c r="G98" s="40">
        <f t="shared" si="29"/>
        <v>275.30491568751603</v>
      </c>
      <c r="H98" s="37"/>
      <c r="I98" s="4">
        <v>-1.5299999999999999E-2</v>
      </c>
      <c r="J98" s="4">
        <f t="shared" si="35"/>
        <v>2.0728699460658566</v>
      </c>
      <c r="K98" s="41">
        <f t="shared" si="30"/>
        <v>307.28699460658561</v>
      </c>
      <c r="L98" s="37"/>
      <c r="M98" s="4">
        <v>-1.01E-2</v>
      </c>
      <c r="N98" s="4">
        <f t="shared" ref="N98:N103" si="43">(N97+1)*(M98+1)-1</f>
        <v>3.4794856355380173</v>
      </c>
      <c r="O98" s="40">
        <f t="shared" si="32"/>
        <v>447.9485635538021</v>
      </c>
      <c r="P98" s="37"/>
      <c r="Q98" s="4">
        <v>1.9899252948106301E-2</v>
      </c>
      <c r="R98" s="4">
        <f t="shared" si="34"/>
        <v>2.3431622116572512</v>
      </c>
      <c r="S98" s="41">
        <f t="shared" si="33"/>
        <v>334.31622116572544</v>
      </c>
    </row>
    <row r="99" spans="1:19" ht="13.5" x14ac:dyDescent="0.25">
      <c r="A99" s="2">
        <v>44255</v>
      </c>
      <c r="B99" s="49">
        <v>105199960.84</v>
      </c>
      <c r="C99" s="6">
        <v>160</v>
      </c>
      <c r="D99" s="37"/>
      <c r="E99" s="4">
        <v>2.8000000000000001E-2</v>
      </c>
      <c r="F99" s="4">
        <f t="shared" si="42"/>
        <v>1.8301345332676684</v>
      </c>
      <c r="G99" s="40">
        <f t="shared" si="29"/>
        <v>283.01345332676647</v>
      </c>
      <c r="H99" s="37"/>
      <c r="I99" s="4">
        <v>2.8400000000000002E-2</v>
      </c>
      <c r="J99" s="4">
        <f t="shared" si="35"/>
        <v>2.1601394525341271</v>
      </c>
      <c r="K99" s="41">
        <f t="shared" si="30"/>
        <v>316.01394525341266</v>
      </c>
      <c r="L99" s="37"/>
      <c r="M99" s="4">
        <v>2.76E-2</v>
      </c>
      <c r="N99" s="4">
        <f t="shared" si="43"/>
        <v>3.603119439078867</v>
      </c>
      <c r="O99" s="40">
        <f t="shared" si="32"/>
        <v>460.3119439078871</v>
      </c>
      <c r="P99" s="37"/>
      <c r="Q99" s="4">
        <v>9.5395931227067604E-2</v>
      </c>
      <c r="R99" s="4">
        <f t="shared" si="34"/>
        <v>2.6620862840814374</v>
      </c>
      <c r="S99" s="41">
        <f t="shared" si="33"/>
        <v>366.20862840814408</v>
      </c>
    </row>
    <row r="100" spans="1:19" ht="13.5" x14ac:dyDescent="0.25">
      <c r="A100" s="2">
        <v>44286</v>
      </c>
      <c r="B100" s="49">
        <v>111252933.3</v>
      </c>
      <c r="C100" s="6">
        <v>158</v>
      </c>
      <c r="D100" s="36">
        <f>(1+E98)*(1+E99)*(1+E100)-1</f>
        <v>7.502849167999992E-2</v>
      </c>
      <c r="E100" s="4">
        <v>6.3399999999999998E-2</v>
      </c>
      <c r="F100" s="4">
        <f t="shared" si="42"/>
        <v>2.0095650626768382</v>
      </c>
      <c r="G100" s="40">
        <f t="shared" si="29"/>
        <v>300.95650626768344</v>
      </c>
      <c r="H100" s="36">
        <f>(1+I98)*(1+I99)*(1+I100)-1</f>
        <v>7.7374804171999934E-2</v>
      </c>
      <c r="I100" s="4">
        <v>6.3899999999999998E-2</v>
      </c>
      <c r="J100" s="4">
        <f t="shared" si="35"/>
        <v>2.3620723635510581</v>
      </c>
      <c r="K100" s="41">
        <f t="shared" si="30"/>
        <v>336.20723635510575</v>
      </c>
      <c r="L100" s="36">
        <f>(1+M98)*(1+M99)*(1+M100)-1</f>
        <v>6.1775530312000004E-2</v>
      </c>
      <c r="M100" s="4">
        <v>4.3799999999999999E-2</v>
      </c>
      <c r="N100" s="4">
        <f t="shared" si="43"/>
        <v>3.804736070510522</v>
      </c>
      <c r="O100" s="40">
        <f t="shared" si="32"/>
        <v>480.47360705105257</v>
      </c>
      <c r="P100" s="36">
        <f>(1+Q98)*(1+Q99)*(1+Q100)-1</f>
        <v>0.18724013374309956</v>
      </c>
      <c r="Q100" s="4">
        <v>6.2698755683339394E-2</v>
      </c>
      <c r="R100" s="4">
        <f t="shared" si="34"/>
        <v>2.8916945372983678</v>
      </c>
      <c r="S100" s="41">
        <f t="shared" si="33"/>
        <v>389.16945372983713</v>
      </c>
    </row>
    <row r="101" spans="1:19" ht="13.5" x14ac:dyDescent="0.25">
      <c r="A101" s="2">
        <v>44316</v>
      </c>
      <c r="B101" s="49">
        <v>121457228.12</v>
      </c>
      <c r="C101" s="6">
        <v>159</v>
      </c>
      <c r="D101" s="37"/>
      <c r="E101" s="4">
        <v>2.2700000000000001E-2</v>
      </c>
      <c r="F101" s="4">
        <f t="shared" si="42"/>
        <v>2.0778821895996025</v>
      </c>
      <c r="G101" s="40">
        <f t="shared" si="29"/>
        <v>307.78821895995981</v>
      </c>
      <c r="H101" s="37"/>
      <c r="I101" s="4">
        <v>2.41E-2</v>
      </c>
      <c r="J101" s="4">
        <f t="shared" si="35"/>
        <v>2.4430983075126385</v>
      </c>
      <c r="K101" s="41">
        <f t="shared" si="30"/>
        <v>344.3098307512638</v>
      </c>
      <c r="L101" s="37"/>
      <c r="M101" s="4">
        <v>5.3400000000000003E-2</v>
      </c>
      <c r="N101" s="4">
        <f t="shared" si="43"/>
        <v>4.0613089766757833</v>
      </c>
      <c r="O101" s="40">
        <f t="shared" si="32"/>
        <v>506.13089766757872</v>
      </c>
      <c r="P101" s="37"/>
      <c r="Q101" s="4">
        <v>4.4459039802685597E-2</v>
      </c>
      <c r="R101" s="4">
        <f t="shared" si="34"/>
        <v>3.0647155396320098</v>
      </c>
      <c r="S101" s="41">
        <f t="shared" si="33"/>
        <v>406.47155396320136</v>
      </c>
    </row>
    <row r="102" spans="1:19" ht="13.5" x14ac:dyDescent="0.25">
      <c r="A102" s="2">
        <v>44347</v>
      </c>
      <c r="B102" s="49">
        <v>122685799.92</v>
      </c>
      <c r="C102" s="6">
        <v>158</v>
      </c>
      <c r="D102" s="37"/>
      <c r="E102" s="4">
        <v>1.8100000000000002E-2</v>
      </c>
      <c r="F102" s="4">
        <f t="shared" si="42"/>
        <v>2.1335918572313552</v>
      </c>
      <c r="G102" s="40">
        <f t="shared" si="29"/>
        <v>313.35918572313506</v>
      </c>
      <c r="H102" s="37"/>
      <c r="I102" s="4">
        <v>1.84E-2</v>
      </c>
      <c r="J102" s="4">
        <f t="shared" si="35"/>
        <v>2.506451316370871</v>
      </c>
      <c r="K102" s="41">
        <f t="shared" si="30"/>
        <v>350.64513163708705</v>
      </c>
      <c r="L102" s="37"/>
      <c r="M102" s="4">
        <v>7.0000000000000001E-3</v>
      </c>
      <c r="N102" s="4">
        <f t="shared" si="43"/>
        <v>4.0967381395125129</v>
      </c>
      <c r="O102" s="40">
        <f t="shared" si="32"/>
        <v>509.6738139512517</v>
      </c>
      <c r="P102" s="37"/>
      <c r="Q102" s="4">
        <v>3.5951273293567398E-2</v>
      </c>
      <c r="R102" s="4">
        <f t="shared" si="34"/>
        <v>3.2108472388579301</v>
      </c>
      <c r="S102" s="41">
        <f t="shared" si="33"/>
        <v>421.08472388579344</v>
      </c>
    </row>
    <row r="103" spans="1:19" ht="13.5" x14ac:dyDescent="0.25">
      <c r="A103" s="2">
        <v>44377</v>
      </c>
      <c r="B103" s="49">
        <v>122245767.86</v>
      </c>
      <c r="C103" s="6">
        <v>159</v>
      </c>
      <c r="D103" s="36">
        <f>(1+E101)*(1+E102)*(1+E103)-1</f>
        <v>3.6733663259000071E-2</v>
      </c>
      <c r="E103" s="4">
        <v>-4.3E-3</v>
      </c>
      <c r="F103" s="4">
        <f t="shared" si="42"/>
        <v>2.1201174122452606</v>
      </c>
      <c r="G103" s="40">
        <f t="shared" si="29"/>
        <v>312.01174122452557</v>
      </c>
      <c r="H103" s="36">
        <f>(1+I101)*(1+I102)*(1+I103)-1</f>
        <v>3.8875960583999891E-2</v>
      </c>
      <c r="I103" s="4">
        <v>-3.8999999999999998E-3</v>
      </c>
      <c r="J103" s="4">
        <f t="shared" si="35"/>
        <v>2.4927761562370248</v>
      </c>
      <c r="K103" s="41">
        <f t="shared" si="30"/>
        <v>349.27761562370239</v>
      </c>
      <c r="L103" s="36">
        <f>(1+M101)*(1+M102)*(1+M103)-1</f>
        <v>8.5489829539999951E-2</v>
      </c>
      <c r="M103" s="4">
        <v>2.3300000000000001E-2</v>
      </c>
      <c r="N103" s="4">
        <f t="shared" si="43"/>
        <v>4.2154921381631549</v>
      </c>
      <c r="O103" s="40">
        <f t="shared" si="32"/>
        <v>521.54921381631596</v>
      </c>
      <c r="P103" s="36">
        <f>(1+Q101)*(1+Q102)*(1+Q103)-1</f>
        <v>5.2464815916557495E-2</v>
      </c>
      <c r="Q103" s="4">
        <v>-2.7304639074941801E-2</v>
      </c>
      <c r="R103" s="4">
        <f t="shared" si="34"/>
        <v>3.0958715748011985</v>
      </c>
      <c r="S103" s="41">
        <f t="shared" si="33"/>
        <v>409.58715748012031</v>
      </c>
    </row>
    <row r="104" spans="1:19" ht="13.5" x14ac:dyDescent="0.25">
      <c r="A104" s="2">
        <v>44408</v>
      </c>
      <c r="B104" s="49">
        <v>124052306.2</v>
      </c>
      <c r="C104" s="6">
        <v>159</v>
      </c>
      <c r="D104" s="37"/>
      <c r="E104" s="4">
        <v>8.0999999999999996E-3</v>
      </c>
      <c r="F104" s="4">
        <f t="shared" ref="F104:F109" si="44">(F103+1)*(E104+1)-1</f>
        <v>2.1453903632844473</v>
      </c>
      <c r="G104" s="40">
        <f t="shared" si="29"/>
        <v>314.53903632844424</v>
      </c>
      <c r="H104" s="37"/>
      <c r="I104" s="4">
        <v>9.5999999999999992E-3</v>
      </c>
      <c r="J104" s="4">
        <f t="shared" si="35"/>
        <v>2.5263068073369004</v>
      </c>
      <c r="K104" s="41">
        <f t="shared" si="30"/>
        <v>352.63068073368993</v>
      </c>
      <c r="L104" s="37"/>
      <c r="M104" s="4">
        <v>2.3800000000000002E-2</v>
      </c>
      <c r="N104" s="4">
        <f t="shared" ref="N104:N109" si="45">(N103+1)*(M104+1)-1</f>
        <v>4.3396208510514382</v>
      </c>
      <c r="O104" s="40">
        <f t="shared" si="32"/>
        <v>533.9620851051443</v>
      </c>
      <c r="P104" s="37"/>
      <c r="Q104" s="4">
        <v>-1.46019299867245E-2</v>
      </c>
      <c r="R104" s="4">
        <f t="shared" si="34"/>
        <v>3.0360639448313362</v>
      </c>
      <c r="S104" s="41">
        <f t="shared" si="33"/>
        <v>403.60639448313407</v>
      </c>
    </row>
    <row r="105" spans="1:19" ht="13.5" x14ac:dyDescent="0.25">
      <c r="A105" s="2">
        <v>44439</v>
      </c>
      <c r="B105" s="49">
        <v>125109458.93000001</v>
      </c>
      <c r="C105" s="6">
        <v>160</v>
      </c>
      <c r="D105" s="37"/>
      <c r="E105" s="4">
        <v>7.6E-3</v>
      </c>
      <c r="F105" s="4">
        <f t="shared" si="44"/>
        <v>2.1692953300454092</v>
      </c>
      <c r="G105" s="40">
        <f t="shared" si="29"/>
        <v>316.92953300454042</v>
      </c>
      <c r="H105" s="37"/>
      <c r="I105" s="4">
        <v>7.9000000000000008E-3</v>
      </c>
      <c r="J105" s="4">
        <f t="shared" si="35"/>
        <v>2.5541646311148618</v>
      </c>
      <c r="K105" s="41">
        <f t="shared" si="30"/>
        <v>355.41646311148611</v>
      </c>
      <c r="L105" s="37"/>
      <c r="M105" s="4">
        <v>3.04E-2</v>
      </c>
      <c r="N105" s="4">
        <f t="shared" si="45"/>
        <v>4.501945324923402</v>
      </c>
      <c r="O105" s="40">
        <f t="shared" si="32"/>
        <v>550.19453249234073</v>
      </c>
      <c r="P105" s="37"/>
      <c r="Q105" s="4">
        <v>2.3036818454087199E-2</v>
      </c>
      <c r="R105" s="4">
        <f t="shared" si="34"/>
        <v>3.1290420171975031</v>
      </c>
      <c r="S105" s="41">
        <f t="shared" si="33"/>
        <v>412.90420171975074</v>
      </c>
    </row>
    <row r="106" spans="1:19" ht="13.5" x14ac:dyDescent="0.25">
      <c r="A106" s="2">
        <v>44469</v>
      </c>
      <c r="B106" s="49">
        <v>121443992.45</v>
      </c>
      <c r="C106" s="6">
        <v>159</v>
      </c>
      <c r="D106" s="36">
        <f>(1+E104)*(1+E105)*(1+E106)-1</f>
        <v>-5.1631281359998393E-3</v>
      </c>
      <c r="E106" s="4">
        <v>-2.06E-2</v>
      </c>
      <c r="F106" s="4">
        <f t="shared" si="44"/>
        <v>2.104007846246474</v>
      </c>
      <c r="G106" s="40">
        <f t="shared" si="29"/>
        <v>310.40078462464692</v>
      </c>
      <c r="H106" s="36">
        <f>(1+I104)*(1+I105)*(1+I106)-1</f>
        <v>-2.8774343839998995E-3</v>
      </c>
      <c r="I106" s="4">
        <v>-2.01E-2</v>
      </c>
      <c r="J106" s="4">
        <f t="shared" si="35"/>
        <v>2.4827259220294531</v>
      </c>
      <c r="K106" s="41">
        <f t="shared" si="30"/>
        <v>348.27259220294525</v>
      </c>
      <c r="L106" s="36">
        <f>(1+M104)*(1+M105)*(1+M106)-1</f>
        <v>5.8695763200000695E-3</v>
      </c>
      <c r="M106" s="4">
        <v>-4.65E-2</v>
      </c>
      <c r="N106" s="4">
        <f t="shared" si="45"/>
        <v>4.2461048673144637</v>
      </c>
      <c r="O106" s="40">
        <f t="shared" si="32"/>
        <v>524.61048673144694</v>
      </c>
      <c r="P106" s="36">
        <f>(1+Q104)*(1+Q105)*(1+Q106)-1</f>
        <v>-1.4738194864579945E-2</v>
      </c>
      <c r="Q106" s="4">
        <v>-2.2653243879921597E-2</v>
      </c>
      <c r="R106" s="4">
        <f t="shared" si="34"/>
        <v>3.0355058213914843</v>
      </c>
      <c r="S106" s="41">
        <f t="shared" si="33"/>
        <v>403.5505821391489</v>
      </c>
    </row>
    <row r="107" spans="1:19" ht="13.5" x14ac:dyDescent="0.25">
      <c r="A107" s="2">
        <v>44500</v>
      </c>
      <c r="B107" s="49">
        <v>127007910.34999999</v>
      </c>
      <c r="C107" s="6">
        <v>161</v>
      </c>
      <c r="D107" s="37"/>
      <c r="E107" s="4">
        <v>3.2000000000000001E-2</v>
      </c>
      <c r="F107" s="4">
        <f t="shared" si="44"/>
        <v>2.2033360973263614</v>
      </c>
      <c r="G107" s="40">
        <f t="shared" si="29"/>
        <v>320.33360973263564</v>
      </c>
      <c r="H107" s="37"/>
      <c r="I107" s="4">
        <v>3.3399999999999999E-2</v>
      </c>
      <c r="J107" s="4">
        <f t="shared" si="35"/>
        <v>2.5990489678252371</v>
      </c>
      <c r="K107" s="41">
        <f t="shared" si="30"/>
        <v>359.90489678252368</v>
      </c>
      <c r="L107" s="37"/>
      <c r="M107" s="4">
        <v>7.0099999999999996E-2</v>
      </c>
      <c r="N107" s="4">
        <f t="shared" si="45"/>
        <v>4.6138568185132076</v>
      </c>
      <c r="O107" s="40">
        <f t="shared" si="32"/>
        <v>561.38568185132135</v>
      </c>
      <c r="P107" s="37"/>
      <c r="Q107" s="4">
        <v>3.06285698786193E-2</v>
      </c>
      <c r="R107" s="4">
        <f t="shared" si="34"/>
        <v>3.1591075934375485</v>
      </c>
      <c r="S107" s="41">
        <f t="shared" si="33"/>
        <v>415.91075934375533</v>
      </c>
    </row>
    <row r="108" spans="1:19" ht="13.5" x14ac:dyDescent="0.25">
      <c r="A108" s="2">
        <v>44530</v>
      </c>
      <c r="B108" s="49">
        <v>124684512.88</v>
      </c>
      <c r="C108" s="6">
        <v>163</v>
      </c>
      <c r="D108" s="37"/>
      <c r="E108" s="4">
        <v>-2.64E-2</v>
      </c>
      <c r="F108" s="4">
        <f t="shared" si="44"/>
        <v>2.1187680243569456</v>
      </c>
      <c r="G108" s="40">
        <f t="shared" si="29"/>
        <v>311.87680243569406</v>
      </c>
      <c r="H108" s="37"/>
      <c r="I108" s="4">
        <v>-2.6100000000000002E-2</v>
      </c>
      <c r="J108" s="4">
        <f t="shared" si="35"/>
        <v>2.5051137897649984</v>
      </c>
      <c r="K108" s="41">
        <f t="shared" si="30"/>
        <v>350.51137897649983</v>
      </c>
      <c r="L108" s="37"/>
      <c r="M108" s="4">
        <v>-6.8999999999999999E-3</v>
      </c>
      <c r="N108" s="4">
        <f t="shared" si="45"/>
        <v>4.5751212064654663</v>
      </c>
      <c r="O108" s="40">
        <f t="shared" si="32"/>
        <v>557.51212064654726</v>
      </c>
      <c r="P108" s="37"/>
      <c r="Q108" s="4">
        <v>-2.4717409432400902E-2</v>
      </c>
      <c r="R108" s="4">
        <f t="shared" si="34"/>
        <v>3.0563052281771457</v>
      </c>
      <c r="S108" s="41">
        <f t="shared" si="33"/>
        <v>405.63052281771496</v>
      </c>
    </row>
    <row r="109" spans="1:19" ht="13.5" x14ac:dyDescent="0.25">
      <c r="A109" s="2">
        <v>44561</v>
      </c>
      <c r="B109" s="49">
        <v>132814323.79000001</v>
      </c>
      <c r="C109" s="6">
        <v>164</v>
      </c>
      <c r="D109" s="36">
        <f>(1+E107)*(1+E108)*(1+E109)-1</f>
        <v>6.8657630719999974E-2</v>
      </c>
      <c r="E109" s="4">
        <v>6.3600000000000004E-2</v>
      </c>
      <c r="F109" s="4">
        <f t="shared" si="44"/>
        <v>2.3171216707060478</v>
      </c>
      <c r="G109" s="40">
        <f t="shared" si="29"/>
        <v>331.71216707060421</v>
      </c>
      <c r="H109" s="36">
        <f>(1+I107)*(1+I108)*(1+I109)-1</f>
        <v>7.0940311466000106E-2</v>
      </c>
      <c r="I109" s="4">
        <v>6.4100000000000004E-2</v>
      </c>
      <c r="J109" s="4">
        <f t="shared" si="35"/>
        <v>2.729791583688935</v>
      </c>
      <c r="K109" s="41">
        <f t="shared" si="30"/>
        <v>372.97915836889348</v>
      </c>
      <c r="L109" s="36">
        <f>(1+M107)*(1+M108)*(1+M109)-1</f>
        <v>0.11032600068800003</v>
      </c>
      <c r="M109" s="4">
        <v>4.48E-2</v>
      </c>
      <c r="N109" s="4">
        <f t="shared" si="45"/>
        <v>4.8248866365151191</v>
      </c>
      <c r="O109" s="40">
        <f t="shared" si="32"/>
        <v>582.48866365151252</v>
      </c>
      <c r="P109" s="36">
        <f>(1+Q107)*(1+Q108)*(1+Q109)-1</f>
        <v>7.913066156257087E-2</v>
      </c>
      <c r="Q109" s="4">
        <v>7.3597232409162508E-2</v>
      </c>
      <c r="R109" s="4">
        <f t="shared" si="34"/>
        <v>3.3548380667778002</v>
      </c>
      <c r="S109" s="41">
        <f t="shared" si="33"/>
        <v>435.48380667778042</v>
      </c>
    </row>
    <row r="110" spans="1:19" ht="13.5" x14ac:dyDescent="0.25">
      <c r="A110" s="2">
        <v>44592</v>
      </c>
      <c r="B110" s="49">
        <v>131625373.37</v>
      </c>
      <c r="C110" s="6">
        <v>165</v>
      </c>
      <c r="D110" s="37"/>
      <c r="E110" s="4">
        <v>2.0000000000000001E-4</v>
      </c>
      <c r="F110" s="4">
        <f t="shared" ref="F110:F115" si="46">(F109+1)*(E110+1)-1</f>
        <v>2.3177850950401888</v>
      </c>
      <c r="G110" s="40">
        <f t="shared" si="29"/>
        <v>331.7785095040183</v>
      </c>
      <c r="H110" s="37"/>
      <c r="I110" s="4">
        <v>1.6000000000000001E-3</v>
      </c>
      <c r="J110" s="4">
        <f t="shared" si="35"/>
        <v>2.7357592502228374</v>
      </c>
      <c r="K110" s="41">
        <f t="shared" si="30"/>
        <v>373.57592502228374</v>
      </c>
      <c r="L110" s="37"/>
      <c r="M110" s="4">
        <v>-5.1700000000000003E-2</v>
      </c>
      <c r="N110" s="4">
        <f t="shared" ref="N110:N115" si="47">(N109+1)*(M110+1)-1</f>
        <v>4.5237399974072874</v>
      </c>
      <c r="O110" s="40">
        <f t="shared" si="32"/>
        <v>552.37399974072935</v>
      </c>
      <c r="P110" s="37"/>
      <c r="Q110" s="4">
        <v>1.8410250362965702E-2</v>
      </c>
      <c r="R110" s="4">
        <f t="shared" si="34"/>
        <v>3.4350117258773532</v>
      </c>
      <c r="S110" s="41">
        <f t="shared" si="33"/>
        <v>443.50117258773571</v>
      </c>
    </row>
    <row r="111" spans="1:19" ht="13.5" x14ac:dyDescent="0.25">
      <c r="A111" s="2">
        <v>44620</v>
      </c>
      <c r="B111" s="49">
        <v>130565741.73</v>
      </c>
      <c r="C111" s="6">
        <v>164</v>
      </c>
      <c r="D111" s="37"/>
      <c r="E111" s="4">
        <v>-7.4999999999999997E-3</v>
      </c>
      <c r="F111" s="4">
        <f t="shared" si="46"/>
        <v>2.2929017068273874</v>
      </c>
      <c r="G111" s="40">
        <f t="shared" si="29"/>
        <v>329.29017068273816</v>
      </c>
      <c r="H111" s="37"/>
      <c r="I111" s="4">
        <v>-7.1000000000000004E-3</v>
      </c>
      <c r="J111" s="4">
        <f t="shared" si="35"/>
        <v>2.7092353595462551</v>
      </c>
      <c r="K111" s="41">
        <f t="shared" si="30"/>
        <v>370.92353595462555</v>
      </c>
      <c r="L111" s="37"/>
      <c r="M111" s="4">
        <v>-2.9899999999999999E-2</v>
      </c>
      <c r="N111" s="4">
        <f t="shared" si="47"/>
        <v>4.3585801714848094</v>
      </c>
      <c r="O111" s="40">
        <f t="shared" si="32"/>
        <v>535.85801714848151</v>
      </c>
      <c r="P111" s="37"/>
      <c r="Q111" s="4">
        <v>-1.9021484787606899E-3</v>
      </c>
      <c r="R111" s="4">
        <f t="shared" si="34"/>
        <v>3.4265756750696896</v>
      </c>
      <c r="S111" s="41">
        <f t="shared" si="33"/>
        <v>442.65756750696937</v>
      </c>
    </row>
    <row r="112" spans="1:19" ht="13.5" x14ac:dyDescent="0.25">
      <c r="A112" s="2">
        <v>44651</v>
      </c>
      <c r="B112" s="49">
        <v>135540014.61000001</v>
      </c>
      <c r="C112" s="6">
        <v>172</v>
      </c>
      <c r="D112" s="36">
        <f>(1+E110)*(1+E111)*(1+E112)-1</f>
        <v>1.9898438900000093E-2</v>
      </c>
      <c r="E112" s="4">
        <v>2.7400000000000001E-2</v>
      </c>
      <c r="F112" s="4">
        <f t="shared" si="46"/>
        <v>2.3831272135944581</v>
      </c>
      <c r="G112" s="40">
        <f t="shared" si="29"/>
        <v>338.31272135944522</v>
      </c>
      <c r="H112" s="36">
        <f>(1+I110)*(1+I111)*(1+I112)-1</f>
        <v>2.2135424191999986E-2</v>
      </c>
      <c r="I112" s="4">
        <v>2.7799999999999998E-2</v>
      </c>
      <c r="J112" s="4">
        <f t="shared" si="35"/>
        <v>2.8123521025416411</v>
      </c>
      <c r="K112" s="41">
        <f t="shared" si="30"/>
        <v>381.23521025416414</v>
      </c>
      <c r="L112" s="36">
        <f>(1+M110)*(1+M111)*(1+M112)-1</f>
        <v>-4.5924179707000135E-2</v>
      </c>
      <c r="M112" s="4">
        <v>3.7100000000000001E-2</v>
      </c>
      <c r="N112" s="4">
        <f t="shared" si="47"/>
        <v>4.5573834958468957</v>
      </c>
      <c r="O112" s="40">
        <f t="shared" si="32"/>
        <v>555.73834958469013</v>
      </c>
      <c r="P112" s="36">
        <f>(1+Q110)*(1+Q111)*(1+Q112)-1</f>
        <v>6.0663478726878939E-2</v>
      </c>
      <c r="Q112" s="4">
        <v>4.3474241096772601E-2</v>
      </c>
      <c r="R112" s="4">
        <f t="shared" si="34"/>
        <v>3.619017693200778</v>
      </c>
      <c r="S112" s="41">
        <f t="shared" si="33"/>
        <v>461.90176932007824</v>
      </c>
    </row>
    <row r="113" spans="1:19" ht="13.5" x14ac:dyDescent="0.25">
      <c r="A113" s="2">
        <v>44681</v>
      </c>
      <c r="B113" s="49">
        <v>138139200.94</v>
      </c>
      <c r="C113" s="6">
        <v>183</v>
      </c>
      <c r="D113" s="37"/>
      <c r="E113" s="4">
        <v>-3.4599999999999999E-2</v>
      </c>
      <c r="F113" s="4">
        <f t="shared" si="46"/>
        <v>2.2660710120040899</v>
      </c>
      <c r="G113" s="40">
        <f t="shared" si="29"/>
        <v>326.60710120040841</v>
      </c>
      <c r="H113" s="37"/>
      <c r="I113" s="4">
        <v>-3.3300000000000003E-2</v>
      </c>
      <c r="J113" s="4">
        <f t="shared" si="35"/>
        <v>2.6854007775270046</v>
      </c>
      <c r="K113" s="41">
        <f t="shared" si="30"/>
        <v>368.54007775270048</v>
      </c>
      <c r="L113" s="37"/>
      <c r="M113" s="4">
        <v>-8.72E-2</v>
      </c>
      <c r="N113" s="4">
        <f t="shared" si="47"/>
        <v>4.0727796550090467</v>
      </c>
      <c r="O113" s="40">
        <f t="shared" si="32"/>
        <v>507.27796550090517</v>
      </c>
      <c r="P113" s="37"/>
      <c r="Q113" s="4">
        <v>-2.8026836922438802E-2</v>
      </c>
      <c r="R113" s="4">
        <f t="shared" si="34"/>
        <v>3.4895612375715803</v>
      </c>
      <c r="S113" s="41">
        <f t="shared" si="33"/>
        <v>448.95612375715848</v>
      </c>
    </row>
    <row r="114" spans="1:19" ht="13.5" x14ac:dyDescent="0.25">
      <c r="A114" s="2">
        <v>44712</v>
      </c>
      <c r="B114" s="49">
        <v>146082211.94999999</v>
      </c>
      <c r="C114" s="6">
        <v>196</v>
      </c>
      <c r="D114" s="37"/>
      <c r="E114" s="4">
        <v>3.0099999999999998E-2</v>
      </c>
      <c r="F114" s="4">
        <f t="shared" si="46"/>
        <v>2.3643797494654128</v>
      </c>
      <c r="G114" s="40">
        <f t="shared" si="29"/>
        <v>336.43797494654069</v>
      </c>
      <c r="H114" s="37"/>
      <c r="I114" s="4">
        <v>3.0499999999999999E-2</v>
      </c>
      <c r="J114" s="4">
        <f t="shared" si="35"/>
        <v>2.7978055012415779</v>
      </c>
      <c r="K114" s="41">
        <f t="shared" si="30"/>
        <v>379.78055012415786</v>
      </c>
      <c r="L114" s="37"/>
      <c r="M114" s="4">
        <v>1.8E-3</v>
      </c>
      <c r="N114" s="4">
        <f t="shared" si="47"/>
        <v>4.0819106583880629</v>
      </c>
      <c r="O114" s="40">
        <f t="shared" si="32"/>
        <v>508.19106583880682</v>
      </c>
      <c r="P114" s="37"/>
      <c r="Q114" s="4">
        <v>4.3928879891826297E-2</v>
      </c>
      <c r="R114" s="4">
        <f t="shared" si="34"/>
        <v>3.686782633943861</v>
      </c>
      <c r="S114" s="41">
        <f t="shared" si="33"/>
        <v>468.67826339438659</v>
      </c>
    </row>
    <row r="115" spans="1:19" ht="13.5" x14ac:dyDescent="0.25">
      <c r="A115" s="2">
        <v>44742</v>
      </c>
      <c r="B115" s="49">
        <v>134722972.53999999</v>
      </c>
      <c r="C115" s="6">
        <v>191</v>
      </c>
      <c r="D115" s="36">
        <f>(1+E113)*(1+E114)*(1+E115)-1</f>
        <v>-6.5109526545999996E-2</v>
      </c>
      <c r="E115" s="4">
        <v>-5.9900000000000002E-2</v>
      </c>
      <c r="F115" s="4">
        <f t="shared" si="46"/>
        <v>2.1628534024724346</v>
      </c>
      <c r="G115" s="40">
        <f t="shared" si="29"/>
        <v>316.28534024724291</v>
      </c>
      <c r="H115" s="36">
        <f>(1+I113)*(1+I114)*(1+I115)-1</f>
        <v>-6.3088618825000053E-2</v>
      </c>
      <c r="I115" s="4">
        <v>-5.9499999999999997E-2</v>
      </c>
      <c r="J115" s="4">
        <f t="shared" si="35"/>
        <v>2.5718360739177042</v>
      </c>
      <c r="K115" s="41">
        <f t="shared" si="30"/>
        <v>357.18360739177047</v>
      </c>
      <c r="L115" s="36">
        <f>(1+M113)*(1+M114)*(1+M115)-1</f>
        <v>-0.16099851079999994</v>
      </c>
      <c r="M115" s="4">
        <v>-8.2500000000000004E-2</v>
      </c>
      <c r="N115" s="4">
        <f t="shared" si="47"/>
        <v>3.6626530290710475</v>
      </c>
      <c r="O115" s="40">
        <f t="shared" si="32"/>
        <v>466.26530290710525</v>
      </c>
      <c r="P115" s="36">
        <f>(1+Q113)*(1+Q114)*(1+Q115)-1</f>
        <v>-8.2420366727633865E-2</v>
      </c>
      <c r="Q115" s="4">
        <v>-9.5687406044846407E-2</v>
      </c>
      <c r="R115" s="4">
        <f t="shared" si="34"/>
        <v>3.2383165610057398</v>
      </c>
      <c r="S115" s="41">
        <f t="shared" si="33"/>
        <v>423.83165610057443</v>
      </c>
    </row>
    <row r="116" spans="1:19" ht="13.5" x14ac:dyDescent="0.25">
      <c r="A116" s="2">
        <v>44773</v>
      </c>
      <c r="B116" s="49">
        <v>137875887.75</v>
      </c>
      <c r="C116" s="6">
        <v>189</v>
      </c>
      <c r="D116" s="37"/>
      <c r="E116" s="4">
        <v>3.2099999999999997E-2</v>
      </c>
      <c r="F116" s="4">
        <f t="shared" ref="F116:F124" si="48">(F115+1)*(E116+1)-1</f>
        <v>2.2643809966917998</v>
      </c>
      <c r="G116" s="40">
        <f t="shared" si="29"/>
        <v>326.43809966917939</v>
      </c>
      <c r="H116" s="37"/>
      <c r="I116" s="4">
        <v>3.3500000000000002E-2</v>
      </c>
      <c r="J116" s="4">
        <f t="shared" si="35"/>
        <v>2.6914925823939475</v>
      </c>
      <c r="K116" s="41">
        <f t="shared" si="30"/>
        <v>369.14925823939478</v>
      </c>
      <c r="L116" s="37"/>
      <c r="M116" s="4">
        <v>9.2200000000000004E-2</v>
      </c>
      <c r="N116" s="4">
        <f t="shared" ref="N116:N124" si="49">(N115+1)*(M116+1)-1</f>
        <v>4.0925496383513984</v>
      </c>
      <c r="O116" s="40">
        <f t="shared" si="32"/>
        <v>509.25496383514036</v>
      </c>
      <c r="P116" s="37"/>
      <c r="Q116" s="4">
        <v>3.7391294910055196E-2</v>
      </c>
      <c r="R116" s="4">
        <f t="shared" si="34"/>
        <v>3.3967927054604763</v>
      </c>
      <c r="S116" s="41">
        <f t="shared" si="33"/>
        <v>439.67927054604814</v>
      </c>
    </row>
    <row r="117" spans="1:19" ht="13.5" x14ac:dyDescent="0.25">
      <c r="A117" s="2">
        <v>44804</v>
      </c>
      <c r="B117" s="49">
        <v>135437991.06</v>
      </c>
      <c r="C117" s="6">
        <v>192</v>
      </c>
      <c r="D117" s="37"/>
      <c r="E117" s="4">
        <v>-3.39E-2</v>
      </c>
      <c r="F117" s="4">
        <f t="shared" si="48"/>
        <v>2.1537184809039478</v>
      </c>
      <c r="G117" s="40">
        <f t="shared" si="29"/>
        <v>315.37184809039422</v>
      </c>
      <c r="H117" s="37"/>
      <c r="I117" s="4">
        <v>-3.3599999999999998E-2</v>
      </c>
      <c r="J117" s="4">
        <f t="shared" si="35"/>
        <v>2.5674584316255111</v>
      </c>
      <c r="K117" s="41">
        <f t="shared" si="30"/>
        <v>356.74584316255113</v>
      </c>
      <c r="L117" s="37"/>
      <c r="M117" s="4">
        <v>-4.0800000000000003E-2</v>
      </c>
      <c r="N117" s="4">
        <f t="shared" si="49"/>
        <v>3.8847736131066615</v>
      </c>
      <c r="O117" s="40">
        <f t="shared" si="32"/>
        <v>488.47736131066665</v>
      </c>
      <c r="P117" s="37"/>
      <c r="Q117" s="4">
        <v>-2.8215902720110798E-2</v>
      </c>
      <c r="R117" s="4">
        <f t="shared" si="34"/>
        <v>3.2727332302027108</v>
      </c>
      <c r="S117" s="41">
        <f t="shared" si="33"/>
        <v>427.27332302027156</v>
      </c>
    </row>
    <row r="118" spans="1:19" ht="13.5" x14ac:dyDescent="0.25">
      <c r="A118" s="2">
        <v>44834</v>
      </c>
      <c r="B118" s="49">
        <v>125188310.73</v>
      </c>
      <c r="C118" s="6">
        <v>191</v>
      </c>
      <c r="D118" s="36">
        <f>(1+E116)*(1+E117)*(1+E118)-1</f>
        <v>-7.6674463939999993E-2</v>
      </c>
      <c r="E118" s="4">
        <v>-7.3999999999999996E-2</v>
      </c>
      <c r="F118" s="4">
        <f t="shared" si="48"/>
        <v>1.9203433133170558</v>
      </c>
      <c r="G118" s="40">
        <f t="shared" si="29"/>
        <v>292.03433133170506</v>
      </c>
      <c r="H118" s="36">
        <f>(1+I116)*(1+I117)*(1+I118)-1</f>
        <v>-7.4835273279999837E-2</v>
      </c>
      <c r="I118" s="4">
        <v>-7.3700000000000002E-2</v>
      </c>
      <c r="J118" s="4">
        <f t="shared" si="35"/>
        <v>2.304536745214711</v>
      </c>
      <c r="K118" s="41">
        <f t="shared" si="30"/>
        <v>330.4536745214711</v>
      </c>
      <c r="L118" s="36">
        <f>(1+M116)*(1+M117)*(1+M118)-1</f>
        <v>-4.8849241903999863E-2</v>
      </c>
      <c r="M118" s="4">
        <v>-9.2100000000000001E-2</v>
      </c>
      <c r="N118" s="4">
        <f t="shared" si="49"/>
        <v>3.4348859633395383</v>
      </c>
      <c r="O118" s="40">
        <f t="shared" si="32"/>
        <v>443.48859633395426</v>
      </c>
      <c r="P118" s="36">
        <f>(1+Q116)*(1+Q117)*(1+Q118)-1</f>
        <v>-0.10205242888592914</v>
      </c>
      <c r="Q118" s="4">
        <v>-0.10928535517601499</v>
      </c>
      <c r="R118" s="4">
        <f t="shared" si="34"/>
        <v>2.8057860615676455</v>
      </c>
      <c r="S118" s="41">
        <f t="shared" si="33"/>
        <v>380.57860615676498</v>
      </c>
    </row>
    <row r="119" spans="1:19" ht="13.5" x14ac:dyDescent="0.25">
      <c r="A119" s="2">
        <v>44865</v>
      </c>
      <c r="B119" s="49">
        <v>138310112.18000001</v>
      </c>
      <c r="C119" s="6">
        <v>190</v>
      </c>
      <c r="D119" s="37"/>
      <c r="E119" s="4">
        <v>0.11020000000000001</v>
      </c>
      <c r="F119" s="4">
        <f>(F118+1)*(E119+1)-1</f>
        <v>2.2421651464445955</v>
      </c>
      <c r="G119" s="40">
        <f t="shared" si="29"/>
        <v>324.21651464445898</v>
      </c>
      <c r="H119" s="37"/>
      <c r="I119" s="4">
        <v>0.1118</v>
      </c>
      <c r="J119" s="4">
        <f t="shared" si="35"/>
        <v>2.6739839533297154</v>
      </c>
      <c r="K119" s="41">
        <f t="shared" si="30"/>
        <v>367.39839533297152</v>
      </c>
      <c r="L119" s="37"/>
      <c r="M119" s="4">
        <v>8.1000000000000003E-2</v>
      </c>
      <c r="N119" s="4">
        <f>(N118+1)*(M119+1)-1</f>
        <v>3.7941117263700406</v>
      </c>
      <c r="O119" s="40">
        <f t="shared" si="32"/>
        <v>479.41117263700454</v>
      </c>
      <c r="P119" s="37"/>
      <c r="Q119" s="4">
        <v>0.101803790332639</v>
      </c>
      <c r="R119" s="4">
        <f>(R118+1)*(Q119+1)-1</f>
        <v>3.1932295078303579</v>
      </c>
      <c r="S119" s="41">
        <f t="shared" si="33"/>
        <v>419.32295078303628</v>
      </c>
    </row>
    <row r="120" spans="1:19" ht="13.5" x14ac:dyDescent="0.25">
      <c r="A120" s="2">
        <v>44895</v>
      </c>
      <c r="B120" s="49">
        <v>144325267.03</v>
      </c>
      <c r="C120" s="6">
        <v>192</v>
      </c>
      <c r="D120" s="37"/>
      <c r="E120" s="4">
        <v>5.2600000000000001E-2</v>
      </c>
      <c r="F120" s="4">
        <f t="shared" si="48"/>
        <v>2.4127030331475812</v>
      </c>
      <c r="G120" s="40">
        <f t="shared" si="29"/>
        <v>341.27030331475754</v>
      </c>
      <c r="H120" s="37"/>
      <c r="I120" s="4">
        <v>5.2900000000000003E-2</v>
      </c>
      <c r="J120" s="4">
        <f t="shared" si="35"/>
        <v>2.8683377044608571</v>
      </c>
      <c r="K120" s="41">
        <f t="shared" si="30"/>
        <v>386.83377044608568</v>
      </c>
      <c r="L120" s="37"/>
      <c r="M120" s="4">
        <v>5.5899999999999998E-2</v>
      </c>
      <c r="N120" s="4">
        <f t="shared" si="49"/>
        <v>4.0621025718741262</v>
      </c>
      <c r="O120" s="40">
        <f t="shared" si="32"/>
        <v>506.21025718741311</v>
      </c>
      <c r="P120" s="37"/>
      <c r="Q120" s="4">
        <v>6.9191509453037994E-2</v>
      </c>
      <c r="R120" s="4">
        <f t="shared" ref="R120:R151" si="50">(R119+1)*(Q120+1)-1</f>
        <v>3.48336538696016</v>
      </c>
      <c r="S120" s="41">
        <f t="shared" si="33"/>
        <v>448.33653869601653</v>
      </c>
    </row>
    <row r="121" spans="1:19" ht="13.5" x14ac:dyDescent="0.25">
      <c r="A121" s="2">
        <v>44926</v>
      </c>
      <c r="B121" s="49">
        <v>145261974.74000001</v>
      </c>
      <c r="C121" s="6">
        <v>199</v>
      </c>
      <c r="D121" s="36">
        <f>(1+E119)*(1+E120)*(1+E121)-1</f>
        <v>0.14674376507600018</v>
      </c>
      <c r="E121" s="4">
        <v>-1.8700000000000001E-2</v>
      </c>
      <c r="F121" s="4">
        <f t="shared" si="48"/>
        <v>2.3488854864277213</v>
      </c>
      <c r="G121" s="40">
        <f t="shared" si="29"/>
        <v>334.88854864277158</v>
      </c>
      <c r="H121" s="36">
        <f>(1+I119)*(1+I120)*(1+I121)-1</f>
        <v>0.14907491835199993</v>
      </c>
      <c r="I121" s="4">
        <v>-1.84E-2</v>
      </c>
      <c r="J121" s="4">
        <f t="shared" si="35"/>
        <v>2.7971602906987774</v>
      </c>
      <c r="K121" s="41">
        <f t="shared" si="30"/>
        <v>379.71602906987772</v>
      </c>
      <c r="L121" s="36">
        <f>(1+M119)*(1+M120)*(1+M121)-1</f>
        <v>7.5681652959999957E-2</v>
      </c>
      <c r="M121" s="4">
        <v>-5.7599999999999998E-2</v>
      </c>
      <c r="N121" s="4">
        <f t="shared" si="49"/>
        <v>3.7705254637341765</v>
      </c>
      <c r="O121" s="40">
        <f t="shared" si="32"/>
        <v>477.05254637341812</v>
      </c>
      <c r="P121" s="36">
        <f>(1+Q119)*(1+Q120)*(1+Q121)-1</f>
        <v>0.13160190617088752</v>
      </c>
      <c r="Q121" s="4">
        <v>-3.9419188479626797E-2</v>
      </c>
      <c r="R121" s="4">
        <f t="shared" si="50"/>
        <v>3.3066347617485423</v>
      </c>
      <c r="S121" s="41">
        <f t="shared" si="33"/>
        <v>430.66347617485479</v>
      </c>
    </row>
    <row r="122" spans="1:19" ht="13.5" x14ac:dyDescent="0.25">
      <c r="A122" s="2">
        <v>44957</v>
      </c>
      <c r="B122" s="49">
        <v>148067627.80000001</v>
      </c>
      <c r="C122" s="6">
        <v>202</v>
      </c>
      <c r="D122" s="37"/>
      <c r="E122" s="4">
        <v>9.7000000000000003E-3</v>
      </c>
      <c r="F122" s="4">
        <f t="shared" si="48"/>
        <v>2.3813696756460705</v>
      </c>
      <c r="G122" s="40">
        <f t="shared" si="29"/>
        <v>338.13696756460649</v>
      </c>
      <c r="H122" s="37"/>
      <c r="I122" s="4">
        <v>1.1299999999999999E-2</v>
      </c>
      <c r="J122" s="4">
        <f t="shared" si="35"/>
        <v>2.8400682019836738</v>
      </c>
      <c r="K122" s="41">
        <f t="shared" si="30"/>
        <v>384.00682019836739</v>
      </c>
      <c r="L122" s="37"/>
      <c r="M122" s="4">
        <v>6.2799999999999995E-2</v>
      </c>
      <c r="N122" s="4">
        <f t="shared" si="49"/>
        <v>4.070114462856683</v>
      </c>
      <c r="O122" s="40">
        <f t="shared" si="32"/>
        <v>507.01144628566874</v>
      </c>
      <c r="P122" s="37"/>
      <c r="Q122" s="4">
        <v>6.4109986279061296E-2</v>
      </c>
      <c r="R122" s="4">
        <f t="shared" si="50"/>
        <v>3.5827330572331695</v>
      </c>
      <c r="S122" s="41">
        <f t="shared" si="33"/>
        <v>458.27330572331755</v>
      </c>
    </row>
    <row r="123" spans="1:19" ht="13.5" x14ac:dyDescent="0.25">
      <c r="A123" s="2">
        <v>44985</v>
      </c>
      <c r="B123" s="49">
        <v>146006834.05000001</v>
      </c>
      <c r="C123" s="6">
        <v>207</v>
      </c>
      <c r="D123" s="37"/>
      <c r="E123" s="4">
        <v>-2.6100000000000002E-2</v>
      </c>
      <c r="F123" s="4">
        <f t="shared" si="48"/>
        <v>2.2931159271117081</v>
      </c>
      <c r="G123" s="40">
        <f t="shared" si="29"/>
        <v>329.31159271117025</v>
      </c>
      <c r="H123" s="37"/>
      <c r="I123" s="4">
        <v>-2.5899999999999999E-2</v>
      </c>
      <c r="J123" s="4">
        <f t="shared" si="35"/>
        <v>2.7406104355522967</v>
      </c>
      <c r="K123" s="41">
        <f t="shared" si="30"/>
        <v>374.06104355522967</v>
      </c>
      <c r="L123" s="37"/>
      <c r="M123" s="4">
        <v>-2.4400000000000002E-2</v>
      </c>
      <c r="N123" s="4">
        <f t="shared" si="49"/>
        <v>3.9464036699629803</v>
      </c>
      <c r="O123" s="40">
        <f t="shared" si="32"/>
        <v>494.64036699629844</v>
      </c>
      <c r="P123" s="37"/>
      <c r="Q123" s="4">
        <v>-4.8805709631310805E-2</v>
      </c>
      <c r="R123" s="4">
        <f t="shared" si="50"/>
        <v>3.3590695183240378</v>
      </c>
      <c r="S123" s="41">
        <f t="shared" si="33"/>
        <v>435.90695183240439</v>
      </c>
    </row>
    <row r="124" spans="1:19" ht="13.5" x14ac:dyDescent="0.25">
      <c r="A124" s="2">
        <v>45016</v>
      </c>
      <c r="B124" s="49">
        <v>145680936.77000001</v>
      </c>
      <c r="C124" s="6">
        <v>204</v>
      </c>
      <c r="D124" s="36">
        <f>(1+E122)*(1+E123)*(1+E124)-1</f>
        <v>-1.684983936599993E-2</v>
      </c>
      <c r="E124" s="4">
        <v>-2.0000000000000001E-4</v>
      </c>
      <c r="F124" s="4">
        <f t="shared" si="48"/>
        <v>2.2924573039262857</v>
      </c>
      <c r="G124" s="40">
        <f t="shared" si="29"/>
        <v>329.24573039262805</v>
      </c>
      <c r="H124" s="36">
        <f>(1+I122)*(1+I123)*(1+I124)-1</f>
        <v>-9.8686226169998337E-3</v>
      </c>
      <c r="I124" s="4">
        <v>5.1000000000000004E-3</v>
      </c>
      <c r="J124" s="4">
        <f t="shared" si="35"/>
        <v>2.7596875487736137</v>
      </c>
      <c r="K124" s="41">
        <f t="shared" si="30"/>
        <v>375.96875487736139</v>
      </c>
      <c r="L124" s="36">
        <f>(1+M122)*(1+M123)*(1+M124)-1</f>
        <v>7.4920723856000127E-2</v>
      </c>
      <c r="M124" s="4">
        <v>3.6700000000000003E-2</v>
      </c>
      <c r="N124" s="4">
        <f t="shared" si="49"/>
        <v>4.1279366846506216</v>
      </c>
      <c r="O124" s="40">
        <f t="shared" si="32"/>
        <v>512.79366846506252</v>
      </c>
      <c r="P124" s="36">
        <f>(1+Q122)*(1+Q123)*(1+Q124)-1</f>
        <v>-2.9990528145287354E-2</v>
      </c>
      <c r="Q124" s="4">
        <v>-4.1658662897169602E-2</v>
      </c>
      <c r="R124" s="4">
        <f t="shared" si="50"/>
        <v>3.1774765107148495</v>
      </c>
      <c r="S124" s="41">
        <f t="shared" si="33"/>
        <v>417.74765107148551</v>
      </c>
    </row>
    <row r="125" spans="1:19" ht="13.5" x14ac:dyDescent="0.25">
      <c r="A125" s="2">
        <v>45046</v>
      </c>
      <c r="B125" s="49">
        <v>149533066.58000001</v>
      </c>
      <c r="C125" s="6">
        <v>207</v>
      </c>
      <c r="D125" s="37"/>
      <c r="E125" s="4">
        <v>1.6500000000000001E-2</v>
      </c>
      <c r="F125" s="4">
        <f t="shared" ref="F125:F130" si="51">(F124+1)*(E125+1)-1</f>
        <v>2.3467828494410692</v>
      </c>
      <c r="G125" s="40">
        <f t="shared" si="29"/>
        <v>334.67828494410639</v>
      </c>
      <c r="H125" s="37"/>
      <c r="I125" s="4">
        <v>1.7999999999999999E-2</v>
      </c>
      <c r="J125" s="4">
        <f t="shared" si="35"/>
        <v>2.8273619246515387</v>
      </c>
      <c r="K125" s="41">
        <f t="shared" si="30"/>
        <v>382.73619246515392</v>
      </c>
      <c r="L125" s="37"/>
      <c r="M125" s="4">
        <v>1.5599999999999999E-2</v>
      </c>
      <c r="N125" s="4">
        <f t="shared" ref="N125:N130" si="52">(N124+1)*(M125+1)-1</f>
        <v>4.2079324969311713</v>
      </c>
      <c r="O125" s="40">
        <f t="shared" si="32"/>
        <v>520.79324969311756</v>
      </c>
      <c r="P125" s="37"/>
      <c r="Q125" s="4">
        <v>4.62469984150182E-3</v>
      </c>
      <c r="R125" s="4">
        <f t="shared" si="50"/>
        <v>3.1967960856718296</v>
      </c>
      <c r="S125" s="41">
        <f t="shared" si="33"/>
        <v>419.67960856718355</v>
      </c>
    </row>
    <row r="126" spans="1:19" ht="13.5" x14ac:dyDescent="0.25">
      <c r="A126" s="2">
        <v>45077</v>
      </c>
      <c r="B126" s="49">
        <v>141533006.58000001</v>
      </c>
      <c r="C126" s="6">
        <v>207</v>
      </c>
      <c r="D126" s="37"/>
      <c r="E126" s="4">
        <v>-4.9599999999999998E-2</v>
      </c>
      <c r="F126" s="4">
        <f t="shared" si="51"/>
        <v>2.1807824201087924</v>
      </c>
      <c r="G126" s="40">
        <f t="shared" si="29"/>
        <v>318.07824201087874</v>
      </c>
      <c r="H126" s="37"/>
      <c r="I126" s="4">
        <v>-4.9299999999999997E-2</v>
      </c>
      <c r="J126" s="4">
        <f t="shared" si="35"/>
        <v>2.6386729817662178</v>
      </c>
      <c r="K126" s="41">
        <f t="shared" si="30"/>
        <v>363.86729817662183</v>
      </c>
      <c r="L126" s="37"/>
      <c r="M126" s="4">
        <v>4.3E-3</v>
      </c>
      <c r="N126" s="4">
        <f t="shared" si="52"/>
        <v>4.2303266066679752</v>
      </c>
      <c r="O126" s="40">
        <f t="shared" si="32"/>
        <v>523.03266066679794</v>
      </c>
      <c r="P126" s="37"/>
      <c r="Q126" s="4">
        <v>-8.0308040587575694E-2</v>
      </c>
      <c r="R126" s="4">
        <f t="shared" si="50"/>
        <v>2.8597596152859177</v>
      </c>
      <c r="S126" s="41">
        <f t="shared" si="33"/>
        <v>385.97596152859228</v>
      </c>
    </row>
    <row r="127" spans="1:19" ht="13.5" x14ac:dyDescent="0.25">
      <c r="A127" s="2">
        <v>45107</v>
      </c>
      <c r="B127" s="49">
        <v>144840566.94</v>
      </c>
      <c r="C127" s="6">
        <v>205</v>
      </c>
      <c r="D127" s="36">
        <f>(1+E125)*(1+E126)*(1+E127)-1</f>
        <v>9.0722312000000027E-3</v>
      </c>
      <c r="E127" s="4">
        <v>4.4499999999999998E-2</v>
      </c>
      <c r="F127" s="4">
        <f t="shared" si="51"/>
        <v>2.3223272378036337</v>
      </c>
      <c r="G127" s="40">
        <f t="shared" si="29"/>
        <v>332.23272378036285</v>
      </c>
      <c r="H127" s="36">
        <f>(1+I125)*(1+I126)*(1+I127)-1</f>
        <v>1.1267385739999858E-2</v>
      </c>
      <c r="I127" s="4">
        <v>4.4900000000000002E-2</v>
      </c>
      <c r="J127" s="4">
        <f t="shared" si="35"/>
        <v>2.8020493986475206</v>
      </c>
      <c r="K127" s="41">
        <f t="shared" si="30"/>
        <v>380.20493986475213</v>
      </c>
      <c r="L127" s="36">
        <f>(1+M125)*(1+M126)*(1+M127)-1</f>
        <v>8.7386903987999975E-2</v>
      </c>
      <c r="M127" s="4">
        <v>6.6100000000000006E-2</v>
      </c>
      <c r="N127" s="4">
        <f t="shared" si="52"/>
        <v>4.5760511953687288</v>
      </c>
      <c r="O127" s="40">
        <f t="shared" si="32"/>
        <v>557.6051195368733</v>
      </c>
      <c r="P127" s="36">
        <f>(1+Q125)*(1+Q126)*(1+Q127)-1</f>
        <v>-1.1826385516856774E-2</v>
      </c>
      <c r="Q127" s="4">
        <v>6.9515325944910791E-2</v>
      </c>
      <c r="R127" s="4">
        <f t="shared" si="50"/>
        <v>3.1280720630115217</v>
      </c>
      <c r="S127" s="41">
        <f t="shared" si="33"/>
        <v>412.80720630115275</v>
      </c>
    </row>
    <row r="128" spans="1:19" ht="13.5" x14ac:dyDescent="0.25">
      <c r="A128" s="2">
        <v>45138</v>
      </c>
      <c r="B128" s="49">
        <v>150545279.55000001</v>
      </c>
      <c r="C128" s="6">
        <v>206</v>
      </c>
      <c r="D128" s="37"/>
      <c r="E128" s="4">
        <v>2.3300000000000001E-2</v>
      </c>
      <c r="F128" s="4">
        <f t="shared" si="51"/>
        <v>2.3997374624444587</v>
      </c>
      <c r="G128" s="40">
        <f t="shared" si="29"/>
        <v>339.97374624444535</v>
      </c>
      <c r="H128" s="37"/>
      <c r="I128" s="4">
        <v>2.4899999999999999E-2</v>
      </c>
      <c r="J128" s="4">
        <f t="shared" si="35"/>
        <v>2.8967204286738437</v>
      </c>
      <c r="K128" s="41">
        <f t="shared" si="30"/>
        <v>389.67204286738445</v>
      </c>
      <c r="L128" s="37"/>
      <c r="M128" s="4">
        <v>3.2099999999999997E-2</v>
      </c>
      <c r="N128" s="4">
        <f t="shared" si="52"/>
        <v>4.7550424387400652</v>
      </c>
      <c r="O128" s="40">
        <f t="shared" si="32"/>
        <v>575.50424387400699</v>
      </c>
      <c r="P128" s="37"/>
      <c r="Q128" s="4">
        <v>4.6818186212771201E-2</v>
      </c>
      <c r="R128" s="4">
        <f t="shared" si="50"/>
        <v>3.3213409095573336</v>
      </c>
      <c r="S128" s="41">
        <f t="shared" si="33"/>
        <v>432.134090955734</v>
      </c>
    </row>
    <row r="129" spans="1:19" ht="13.5" x14ac:dyDescent="0.25">
      <c r="A129" s="2">
        <v>45169</v>
      </c>
      <c r="B129" s="49">
        <v>149793584.97999999</v>
      </c>
      <c r="C129" s="6">
        <v>211</v>
      </c>
      <c r="D129" s="37"/>
      <c r="E129" s="4">
        <v>-1.5599999999999999E-2</v>
      </c>
      <c r="F129" s="4">
        <f t="shared" si="51"/>
        <v>2.3467015580303254</v>
      </c>
      <c r="G129" s="40">
        <f t="shared" si="29"/>
        <v>334.670155803032</v>
      </c>
      <c r="H129" s="37"/>
      <c r="I129" s="4">
        <v>-1.5299999999999999E-2</v>
      </c>
      <c r="J129" s="4">
        <f t="shared" si="35"/>
        <v>2.837100606115134</v>
      </c>
      <c r="K129" s="41">
        <f t="shared" si="30"/>
        <v>383.71006061151348</v>
      </c>
      <c r="L129" s="37"/>
      <c r="M129" s="4">
        <v>-1.5900000000000001E-2</v>
      </c>
      <c r="N129" s="4">
        <f t="shared" si="52"/>
        <v>4.6635372639640984</v>
      </c>
      <c r="O129" s="40">
        <f t="shared" si="32"/>
        <v>566.35372639641025</v>
      </c>
      <c r="P129" s="37"/>
      <c r="Q129" s="4">
        <v>-4.1110777511903403E-2</v>
      </c>
      <c r="R129" s="4">
        <f t="shared" si="50"/>
        <v>3.143687224871436</v>
      </c>
      <c r="S129" s="41">
        <f t="shared" si="33"/>
        <v>414.36872248714417</v>
      </c>
    </row>
    <row r="130" spans="1:19" ht="13.5" x14ac:dyDescent="0.25">
      <c r="A130" s="2">
        <v>45199</v>
      </c>
      <c r="B130" s="49">
        <v>145255622.16</v>
      </c>
      <c r="C130" s="6">
        <v>209</v>
      </c>
      <c r="D130" s="36">
        <f>(1+E128)*(1+E129)*(1+E130)-1</f>
        <v>-2.3991645771999859E-2</v>
      </c>
      <c r="E130" s="4">
        <v>-3.1099999999999999E-2</v>
      </c>
      <c r="F130" s="4">
        <f t="shared" si="51"/>
        <v>2.2426191395755821</v>
      </c>
      <c r="G130" s="40">
        <f t="shared" si="29"/>
        <v>324.26191395755768</v>
      </c>
      <c r="H130" s="36">
        <f>(1+I128)*(1+I129)*(1+I130)-1</f>
        <v>-2.176399422100006E-2</v>
      </c>
      <c r="I130" s="4">
        <v>-3.0700000000000002E-2</v>
      </c>
      <c r="J130" s="4">
        <f t="shared" si="35"/>
        <v>2.7193016175073996</v>
      </c>
      <c r="K130" s="41">
        <f t="shared" si="30"/>
        <v>371.93016175074001</v>
      </c>
      <c r="L130" s="36">
        <f>(1+M128)*(1+M129)*(1+M130)-1</f>
        <v>-3.2758784397000085E-2</v>
      </c>
      <c r="M130" s="4">
        <v>-4.7699999999999999E-2</v>
      </c>
      <c r="N130" s="4">
        <f t="shared" si="52"/>
        <v>4.3933865364730114</v>
      </c>
      <c r="O130" s="40">
        <f t="shared" si="32"/>
        <v>539.3386536473015</v>
      </c>
      <c r="P130" s="36">
        <f>(1+Q128)*(1+Q129)*(1+Q130)-1</f>
        <v>-4.3706495020548242E-2</v>
      </c>
      <c r="Q130" s="4">
        <v>-4.7310212447918006E-2</v>
      </c>
      <c r="R130" s="4">
        <f t="shared" si="50"/>
        <v>2.9476485019450447</v>
      </c>
      <c r="S130" s="41">
        <f t="shared" si="33"/>
        <v>394.76485019450502</v>
      </c>
    </row>
    <row r="131" spans="1:19" ht="13.5" x14ac:dyDescent="0.25">
      <c r="A131" s="2">
        <v>45230</v>
      </c>
      <c r="B131" s="49">
        <v>141837709.05000001</v>
      </c>
      <c r="C131" s="6">
        <v>209</v>
      </c>
      <c r="D131" s="37"/>
      <c r="E131" s="4">
        <v>-2.12E-2</v>
      </c>
      <c r="F131" s="4">
        <f t="shared" ref="F131:F136" si="53">(F130+1)*(E131+1)-1</f>
        <v>2.17387561381658</v>
      </c>
      <c r="G131" s="40">
        <f t="shared" si="29"/>
        <v>317.38756138165746</v>
      </c>
      <c r="H131" s="37"/>
      <c r="I131" s="4">
        <v>-1.9699999999999999E-2</v>
      </c>
      <c r="J131" s="4">
        <f t="shared" si="35"/>
        <v>2.6460313756425036</v>
      </c>
      <c r="K131" s="41">
        <f t="shared" si="30"/>
        <v>364.6031375642504</v>
      </c>
      <c r="L131" s="37"/>
      <c r="M131" s="4">
        <v>-2.1000000000000001E-2</v>
      </c>
      <c r="N131" s="4">
        <f t="shared" ref="N131:N136" si="54">(N130+1)*(M131+1)-1</f>
        <v>4.2801254192070779</v>
      </c>
      <c r="O131" s="40">
        <f t="shared" si="32"/>
        <v>528.01254192070814</v>
      </c>
      <c r="P131" s="37"/>
      <c r="Q131" s="4">
        <v>-4.2200000000000001E-2</v>
      </c>
      <c r="R131" s="4">
        <f t="shared" si="50"/>
        <v>2.781057735162964</v>
      </c>
      <c r="S131" s="41">
        <f t="shared" si="33"/>
        <v>378.10577351629689</v>
      </c>
    </row>
    <row r="132" spans="1:19" ht="13.5" x14ac:dyDescent="0.25">
      <c r="A132" s="2">
        <v>45260</v>
      </c>
      <c r="B132" s="49">
        <v>148345472.52000001</v>
      </c>
      <c r="C132" s="6">
        <v>209</v>
      </c>
      <c r="D132" s="37"/>
      <c r="E132" s="4">
        <v>4.5699999999999998E-2</v>
      </c>
      <c r="F132" s="4">
        <f t="shared" si="53"/>
        <v>2.318921729367998</v>
      </c>
      <c r="G132" s="40">
        <f t="shared" si="29"/>
        <v>331.89217293679923</v>
      </c>
      <c r="H132" s="37"/>
      <c r="I132" s="4">
        <v>4.58E-2</v>
      </c>
      <c r="J132" s="4">
        <f t="shared" si="35"/>
        <v>2.8130196126469307</v>
      </c>
      <c r="K132" s="41">
        <f t="shared" si="30"/>
        <v>381.30196126469309</v>
      </c>
      <c r="L132" s="37"/>
      <c r="M132" s="4">
        <v>9.1300000000000006E-2</v>
      </c>
      <c r="N132" s="4">
        <f t="shared" si="54"/>
        <v>4.7622008699806839</v>
      </c>
      <c r="O132" s="40">
        <f t="shared" si="32"/>
        <v>576.22008699806872</v>
      </c>
      <c r="P132" s="37"/>
      <c r="Q132" s="4">
        <v>9.3200000000000005E-2</v>
      </c>
      <c r="R132" s="4">
        <f t="shared" si="50"/>
        <v>3.1334523160801524</v>
      </c>
      <c r="S132" s="41">
        <f t="shared" si="33"/>
        <v>413.34523160801575</v>
      </c>
    </row>
    <row r="133" spans="1:19" ht="13.5" x14ac:dyDescent="0.25">
      <c r="A133" s="2">
        <v>45291</v>
      </c>
      <c r="B133" s="49">
        <v>154435551.31999999</v>
      </c>
      <c r="C133" s="6">
        <v>213</v>
      </c>
      <c r="D133" s="36">
        <f>(1+E131)*(1+E132)*(1+E133)-1</f>
        <v>6.2118284732000095E-2</v>
      </c>
      <c r="E133" s="4">
        <v>3.7699999999999997E-2</v>
      </c>
      <c r="F133" s="4">
        <f t="shared" si="53"/>
        <v>2.4440450785651717</v>
      </c>
      <c r="G133" s="40">
        <f t="shared" si="29"/>
        <v>344.4045078565166</v>
      </c>
      <c r="H133" s="36">
        <f>(1+I131)*(1+I132)*(1+I133)-1</f>
        <v>6.3950214572000119E-2</v>
      </c>
      <c r="I133" s="4">
        <v>3.78E-2</v>
      </c>
      <c r="J133" s="4">
        <f t="shared" si="35"/>
        <v>2.9571517540049848</v>
      </c>
      <c r="K133" s="41">
        <f t="shared" si="30"/>
        <v>395.71517540049854</v>
      </c>
      <c r="L133" s="36">
        <f>(1+M131)*(1+M132)*(1+M133)-1</f>
        <v>0.11688727458000003</v>
      </c>
      <c r="M133" s="4">
        <v>4.5400000000000003E-2</v>
      </c>
      <c r="N133" s="4">
        <f t="shared" si="54"/>
        <v>5.0238047894778077</v>
      </c>
      <c r="O133" s="40">
        <f t="shared" si="32"/>
        <v>602.38047894778106</v>
      </c>
      <c r="P133" s="36">
        <f>(1+Q131)*(1+Q132)*(1+Q133)-1</f>
        <v>0.13355469089599992</v>
      </c>
      <c r="Q133" s="4">
        <v>8.2600000000000007E-2</v>
      </c>
      <c r="R133" s="4">
        <f t="shared" si="50"/>
        <v>3.4748754773883732</v>
      </c>
      <c r="S133" s="41">
        <f t="shared" si="33"/>
        <v>447.48754773883786</v>
      </c>
    </row>
    <row r="134" spans="1:19" ht="13.5" x14ac:dyDescent="0.25">
      <c r="A134" s="2">
        <v>45322</v>
      </c>
      <c r="B134" s="49">
        <v>155910859.71000001</v>
      </c>
      <c r="C134" s="6">
        <v>216</v>
      </c>
      <c r="D134" s="37"/>
      <c r="E134" s="4">
        <v>7.6E-3</v>
      </c>
      <c r="F134" s="4">
        <f t="shared" si="53"/>
        <v>2.4702198211622672</v>
      </c>
      <c r="G134" s="40">
        <f t="shared" si="29"/>
        <v>347.02198211622613</v>
      </c>
      <c r="H134" s="37"/>
      <c r="I134" s="4">
        <v>9.7000000000000003E-3</v>
      </c>
      <c r="J134" s="4">
        <f t="shared" si="35"/>
        <v>2.9955361260188331</v>
      </c>
      <c r="K134" s="41">
        <f t="shared" si="30"/>
        <v>399.5536126018834</v>
      </c>
      <c r="L134" s="37"/>
      <c r="M134" s="4">
        <v>1.6799999999999999E-2</v>
      </c>
      <c r="N134" s="4">
        <f t="shared" si="54"/>
        <v>5.1250047099410345</v>
      </c>
      <c r="O134" s="40">
        <f t="shared" si="32"/>
        <v>612.50047099410369</v>
      </c>
      <c r="P134" s="37"/>
      <c r="Q134" s="4">
        <v>-1.6899999999999998E-2</v>
      </c>
      <c r="R134" s="4">
        <f t="shared" si="50"/>
        <v>3.3992500818205098</v>
      </c>
      <c r="S134" s="41">
        <f t="shared" si="33"/>
        <v>439.9250081820515</v>
      </c>
    </row>
    <row r="135" spans="1:19" ht="13.5" x14ac:dyDescent="0.25">
      <c r="A135" s="2">
        <v>45351</v>
      </c>
      <c r="B135" s="49">
        <v>157108261.65000001</v>
      </c>
      <c r="C135" s="6">
        <v>215</v>
      </c>
      <c r="D135" s="37"/>
      <c r="E135" s="4">
        <v>9.7000000000000003E-3</v>
      </c>
      <c r="F135" s="4">
        <f t="shared" si="53"/>
        <v>2.5038809534275415</v>
      </c>
      <c r="G135" s="40">
        <f t="shared" ref="G135:G151" si="55">G134*(1+E135)</f>
        <v>350.38809534275356</v>
      </c>
      <c r="H135" s="37"/>
      <c r="I135" s="4">
        <v>9.7000000000000003E-3</v>
      </c>
      <c r="J135" s="4">
        <f t="shared" si="35"/>
        <v>3.0342928264412157</v>
      </c>
      <c r="K135" s="41">
        <f t="shared" ref="K135:K151" si="56">K134*(1+I135)</f>
        <v>403.42928264412171</v>
      </c>
      <c r="L135" s="37"/>
      <c r="M135" s="4">
        <v>5.3400000000000003E-2</v>
      </c>
      <c r="N135" s="4">
        <f t="shared" si="54"/>
        <v>5.4520799614518847</v>
      </c>
      <c r="O135" s="40">
        <f t="shared" ref="O135:O151" si="57">O134*(1+M135)</f>
        <v>645.20799614518876</v>
      </c>
      <c r="P135" s="37"/>
      <c r="Q135" s="4">
        <v>8.9999999999999993E-3</v>
      </c>
      <c r="R135" s="4">
        <f t="shared" si="50"/>
        <v>3.4388433325568943</v>
      </c>
      <c r="S135" s="41">
        <f t="shared" ref="S135:S151" si="58">S134*(1+Q135)</f>
        <v>443.88433325568991</v>
      </c>
    </row>
    <row r="136" spans="1:19" ht="13.5" x14ac:dyDescent="0.25">
      <c r="A136" s="2">
        <v>45382</v>
      </c>
      <c r="B136" s="49">
        <v>162109732.15000001</v>
      </c>
      <c r="C136" s="6">
        <v>213</v>
      </c>
      <c r="D136" s="36">
        <f>(1+E134)*(1+E135)*(1+E136)-1</f>
        <v>5.6644345592000045E-2</v>
      </c>
      <c r="E136" s="4">
        <v>3.8600000000000002E-2</v>
      </c>
      <c r="F136" s="4">
        <f t="shared" si="53"/>
        <v>2.6391307582298444</v>
      </c>
      <c r="G136" s="40">
        <f t="shared" si="55"/>
        <v>363.91307582298384</v>
      </c>
      <c r="H136" s="36">
        <f>(1+I134)*(1+I135)*(1+I136)-1</f>
        <v>5.8846561873999947E-2</v>
      </c>
      <c r="I136" s="4">
        <v>3.8600000000000002E-2</v>
      </c>
      <c r="J136" s="4">
        <f t="shared" si="35"/>
        <v>3.1900165295418468</v>
      </c>
      <c r="K136" s="41">
        <f t="shared" si="56"/>
        <v>419.00165295418481</v>
      </c>
      <c r="L136" s="36">
        <f>(1+M134)*(1+M135)*(1+M136)-1</f>
        <v>0.10558644726400002</v>
      </c>
      <c r="M136" s="4">
        <v>3.2199999999999999E-2</v>
      </c>
      <c r="N136" s="4">
        <f t="shared" si="54"/>
        <v>5.6598369362106355</v>
      </c>
      <c r="O136" s="40">
        <f t="shared" si="57"/>
        <v>665.98369362106382</v>
      </c>
      <c r="P136" s="36">
        <f>(1+Q134)*(1+Q135)*(1+Q136)-1</f>
        <v>4.8786514669999725E-2</v>
      </c>
      <c r="Q136" s="4">
        <v>5.7299999999999997E-2</v>
      </c>
      <c r="R136" s="4">
        <f t="shared" si="50"/>
        <v>3.6931890555124038</v>
      </c>
      <c r="S136" s="41">
        <f t="shared" si="58"/>
        <v>469.3189055512409</v>
      </c>
    </row>
    <row r="137" spans="1:19" ht="13.5" x14ac:dyDescent="0.25">
      <c r="A137" s="2">
        <v>45412</v>
      </c>
      <c r="B137" s="49">
        <v>156751777.80000001</v>
      </c>
      <c r="C137" s="6">
        <v>211</v>
      </c>
      <c r="D137" s="37"/>
      <c r="E137" s="4">
        <v>-2.9000000000000001E-2</v>
      </c>
      <c r="F137" s="4">
        <f t="shared" ref="F137:F142" si="59">(F136+1)*(E137+1)-1</f>
        <v>2.5335959662411787</v>
      </c>
      <c r="G137" s="40">
        <f t="shared" si="55"/>
        <v>353.35959662411727</v>
      </c>
      <c r="H137" s="37"/>
      <c r="I137" s="4">
        <v>-2.7E-2</v>
      </c>
      <c r="J137" s="4">
        <f t="shared" ref="J137:J151" si="60">(J136+1)*(I137+1)-1</f>
        <v>3.0768860832442169</v>
      </c>
      <c r="K137" s="41">
        <f t="shared" si="56"/>
        <v>407.68860832442181</v>
      </c>
      <c r="L137" s="37"/>
      <c r="M137" s="4">
        <v>-4.0800000000000003E-2</v>
      </c>
      <c r="N137" s="4">
        <f t="shared" ref="N137:N142" si="61">(N136+1)*(M137+1)-1</f>
        <v>5.3881155892132417</v>
      </c>
      <c r="O137" s="40">
        <f t="shared" si="57"/>
        <v>638.81155892132449</v>
      </c>
      <c r="P137" s="37"/>
      <c r="Q137" s="4">
        <v>-3.4200000000000001E-2</v>
      </c>
      <c r="R137" s="4">
        <f t="shared" si="50"/>
        <v>3.5326819898138799</v>
      </c>
      <c r="S137" s="41">
        <f t="shared" si="58"/>
        <v>453.26819898138848</v>
      </c>
    </row>
    <row r="138" spans="1:19" ht="13.5" x14ac:dyDescent="0.25">
      <c r="A138" s="2">
        <v>45443</v>
      </c>
      <c r="B138" s="49">
        <v>159451681.34999999</v>
      </c>
      <c r="C138" s="6">
        <v>213</v>
      </c>
      <c r="D138" s="37"/>
      <c r="E138" s="4">
        <v>1.7399999999999999E-2</v>
      </c>
      <c r="F138" s="4">
        <f t="shared" si="59"/>
        <v>2.5950805360537754</v>
      </c>
      <c r="G138" s="40">
        <f t="shared" si="55"/>
        <v>359.50805360537692</v>
      </c>
      <c r="H138" s="37"/>
      <c r="I138" s="4">
        <v>1.7399999999999999E-2</v>
      </c>
      <c r="J138" s="4">
        <f t="shared" si="60"/>
        <v>3.147823901092667</v>
      </c>
      <c r="K138" s="41">
        <f t="shared" si="56"/>
        <v>414.78239010926677</v>
      </c>
      <c r="L138" s="37"/>
      <c r="M138" s="4">
        <v>4.9599999999999998E-2</v>
      </c>
      <c r="N138" s="4">
        <f t="shared" si="61"/>
        <v>5.7049661224382193</v>
      </c>
      <c r="O138" s="40">
        <f t="shared" si="57"/>
        <v>670.49661224382226</v>
      </c>
      <c r="P138" s="37"/>
      <c r="Q138" s="4">
        <v>3.9E-2</v>
      </c>
      <c r="R138" s="4">
        <f t="shared" si="50"/>
        <v>3.7094565874166205</v>
      </c>
      <c r="S138" s="41">
        <f t="shared" si="58"/>
        <v>470.94565874166261</v>
      </c>
    </row>
    <row r="139" spans="1:19" ht="13.5" x14ac:dyDescent="0.25">
      <c r="A139" s="2">
        <v>45473</v>
      </c>
      <c r="B139" s="49">
        <v>158293189.94999999</v>
      </c>
      <c r="C139" s="6">
        <v>213</v>
      </c>
      <c r="D139" s="36">
        <f>(1+E137)*(1+E138)*(1+E139)-1</f>
        <v>-1.7834393319999919E-2</v>
      </c>
      <c r="E139" s="4">
        <v>-5.7999999999999996E-3</v>
      </c>
      <c r="F139" s="4">
        <f t="shared" si="59"/>
        <v>2.5742290689446636</v>
      </c>
      <c r="G139" s="40">
        <f t="shared" si="55"/>
        <v>357.42290689446571</v>
      </c>
      <c r="H139" s="36">
        <f>(1+I137)*(1+I138)*(1+I139)-1</f>
        <v>-1.5712402139999915E-2</v>
      </c>
      <c r="I139" s="4">
        <v>-5.7000000000000002E-3</v>
      </c>
      <c r="J139" s="4">
        <f t="shared" si="60"/>
        <v>3.1241813048564389</v>
      </c>
      <c r="K139" s="41">
        <f t="shared" si="56"/>
        <v>412.41813048564393</v>
      </c>
      <c r="L139" s="36">
        <f>(1+M137)*(1+M138)*(1+M139)-1</f>
        <v>4.2919589888000154E-2</v>
      </c>
      <c r="M139" s="4">
        <v>3.5900000000000001E-2</v>
      </c>
      <c r="N139" s="4">
        <f t="shared" si="61"/>
        <v>5.9456744062337519</v>
      </c>
      <c r="O139" s="40">
        <f t="shared" si="57"/>
        <v>694.56744062337555</v>
      </c>
      <c r="P139" s="36">
        <f>(1+Q137)*(1+Q138)*(1+Q139)-1</f>
        <v>-6.4801142000014966E-4</v>
      </c>
      <c r="Q139" s="4">
        <v>-4.1000000000000003E-3</v>
      </c>
      <c r="R139" s="4">
        <f t="shared" si="50"/>
        <v>3.6901478154082126</v>
      </c>
      <c r="S139" s="41">
        <f t="shared" si="58"/>
        <v>469.01478154082179</v>
      </c>
    </row>
    <row r="140" spans="1:19" ht="13.5" x14ac:dyDescent="0.25">
      <c r="A140" s="2">
        <v>45504</v>
      </c>
      <c r="B140" s="49">
        <v>164496917.71000001</v>
      </c>
      <c r="C140" s="6">
        <v>212</v>
      </c>
      <c r="D140" s="37"/>
      <c r="E140" s="4">
        <v>4.2500000000000003E-2</v>
      </c>
      <c r="F140" s="4">
        <f t="shared" si="59"/>
        <v>2.7261338043748116</v>
      </c>
      <c r="G140" s="40">
        <f t="shared" si="55"/>
        <v>372.61338043748049</v>
      </c>
      <c r="H140" s="37"/>
      <c r="I140" s="4">
        <v>4.4600000000000001E-2</v>
      </c>
      <c r="J140" s="4">
        <f t="shared" si="60"/>
        <v>3.308119791053036</v>
      </c>
      <c r="K140" s="41">
        <f t="shared" si="56"/>
        <v>430.81197910530364</v>
      </c>
      <c r="L140" s="37"/>
      <c r="M140" s="4">
        <v>1.2200000000000001E-2</v>
      </c>
      <c r="N140" s="4">
        <f t="shared" si="61"/>
        <v>6.0304116339898037</v>
      </c>
      <c r="O140" s="40">
        <f t="shared" si="57"/>
        <v>703.04116339898076</v>
      </c>
      <c r="P140" s="37"/>
      <c r="Q140" s="4">
        <v>7.3099999999999998E-2</v>
      </c>
      <c r="R140" s="4">
        <f t="shared" si="50"/>
        <v>4.0329976207145526</v>
      </c>
      <c r="S140" s="41">
        <f t="shared" si="58"/>
        <v>503.29976207145586</v>
      </c>
    </row>
    <row r="141" spans="1:19" ht="13.5" x14ac:dyDescent="0.25">
      <c r="A141" s="2">
        <v>45535</v>
      </c>
      <c r="B141" s="49">
        <v>165351096.30000001</v>
      </c>
      <c r="C141" s="6">
        <v>207</v>
      </c>
      <c r="D141" s="37"/>
      <c r="E141" s="4">
        <v>1.44E-2</v>
      </c>
      <c r="F141" s="4">
        <f t="shared" si="59"/>
        <v>2.7797901311578088</v>
      </c>
      <c r="G141" s="40">
        <f t="shared" si="55"/>
        <v>377.97901311578022</v>
      </c>
      <c r="H141" s="37"/>
      <c r="I141" s="4">
        <v>1.44E-2</v>
      </c>
      <c r="J141" s="4">
        <f t="shared" si="60"/>
        <v>3.3701567160441996</v>
      </c>
      <c r="K141" s="41">
        <f t="shared" si="56"/>
        <v>437.01567160441999</v>
      </c>
      <c r="L141" s="37"/>
      <c r="M141" s="4">
        <v>2.4299999999999999E-2</v>
      </c>
      <c r="N141" s="4">
        <f t="shared" si="61"/>
        <v>6.2012506366957556</v>
      </c>
      <c r="O141" s="40">
        <f t="shared" si="57"/>
        <v>720.12506366957598</v>
      </c>
      <c r="P141" s="37"/>
      <c r="Q141" s="4">
        <v>4.5600000000000002E-2</v>
      </c>
      <c r="R141" s="4">
        <f t="shared" si="50"/>
        <v>4.2625023122191363</v>
      </c>
      <c r="S141" s="41">
        <f t="shared" si="58"/>
        <v>526.25023122191431</v>
      </c>
    </row>
    <row r="142" spans="1:19" ht="13.5" x14ac:dyDescent="0.25">
      <c r="A142" s="2">
        <v>45565</v>
      </c>
      <c r="B142" s="49">
        <v>166166027.72999999</v>
      </c>
      <c r="C142" s="6">
        <v>206</v>
      </c>
      <c r="D142" s="36">
        <f>(1+E140)*(1+E141)*(1+E142)-1</f>
        <v>7.0307895200000026E-2</v>
      </c>
      <c r="E142" s="4">
        <v>1.21E-2</v>
      </c>
      <c r="F142" s="4">
        <f t="shared" si="59"/>
        <v>2.8255255917448183</v>
      </c>
      <c r="G142" s="40">
        <f t="shared" si="55"/>
        <v>382.55255917448113</v>
      </c>
      <c r="H142" s="36">
        <f>(1+I140)*(1+I141)*(1+I142)-1</f>
        <v>7.2463911103999745E-2</v>
      </c>
      <c r="I142" s="4">
        <v>1.21E-2</v>
      </c>
      <c r="J142" s="4">
        <f t="shared" si="60"/>
        <v>3.4230356123083343</v>
      </c>
      <c r="K142" s="41">
        <f t="shared" si="56"/>
        <v>442.30356123083345</v>
      </c>
      <c r="L142" s="36">
        <f>(1+M140)*(1+M141)*(1+M142)-1</f>
        <v>5.8983904243999907E-2</v>
      </c>
      <c r="M142" s="4">
        <v>2.1399999999999999E-2</v>
      </c>
      <c r="N142" s="4">
        <f t="shared" si="61"/>
        <v>6.3553574003210453</v>
      </c>
      <c r="O142" s="40">
        <f t="shared" si="57"/>
        <v>735.53574003210497</v>
      </c>
      <c r="P142" s="36">
        <f>(1+Q140)*(1+Q141)*(1+Q142)-1</f>
        <v>0.14750351727200006</v>
      </c>
      <c r="Q142" s="4">
        <v>2.2700000000000001E-2</v>
      </c>
      <c r="R142" s="4">
        <f t="shared" si="50"/>
        <v>4.3819611147065105</v>
      </c>
      <c r="S142" s="41">
        <f t="shared" si="58"/>
        <v>538.19611147065177</v>
      </c>
    </row>
    <row r="143" spans="1:19" ht="13.5" x14ac:dyDescent="0.25">
      <c r="A143" s="2">
        <v>45596</v>
      </c>
      <c r="B143" s="49">
        <v>162803766.16</v>
      </c>
      <c r="C143" s="6">
        <v>205</v>
      </c>
      <c r="D143" s="37"/>
      <c r="E143" s="4">
        <v>-1.61E-2</v>
      </c>
      <c r="F143" s="4">
        <f t="shared" ref="F143:F148" si="62">(F142+1)*(E143+1)-1</f>
        <v>2.7639346297177267</v>
      </c>
      <c r="G143" s="40">
        <f t="shared" si="55"/>
        <v>376.39346297177201</v>
      </c>
      <c r="H143" s="37"/>
      <c r="I143" s="4">
        <v>-1.41E-2</v>
      </c>
      <c r="J143" s="4">
        <f t="shared" si="60"/>
        <v>3.3606708101747866</v>
      </c>
      <c r="K143" s="41">
        <f t="shared" si="56"/>
        <v>436.0670810174787</v>
      </c>
      <c r="L143" s="37"/>
      <c r="M143" s="4">
        <v>-9.1000000000000004E-3</v>
      </c>
      <c r="N143" s="4">
        <f t="shared" ref="N143:N148" si="63">(N142+1)*(M143+1)-1</f>
        <v>6.2884236479781235</v>
      </c>
      <c r="O143" s="40">
        <f t="shared" si="57"/>
        <v>728.84236479781282</v>
      </c>
      <c r="P143" s="37"/>
      <c r="Q143" s="4">
        <v>-0.01</v>
      </c>
      <c r="R143" s="4">
        <f t="shared" si="50"/>
        <v>4.3281415035594453</v>
      </c>
      <c r="S143" s="41">
        <f t="shared" si="58"/>
        <v>532.81415035594523</v>
      </c>
    </row>
    <row r="144" spans="1:19" ht="13.5" x14ac:dyDescent="0.25">
      <c r="A144" s="2">
        <v>45626</v>
      </c>
      <c r="B144" s="49">
        <v>166404954.44</v>
      </c>
      <c r="C144" s="6">
        <v>206</v>
      </c>
      <c r="D144" s="37"/>
      <c r="E144" s="4">
        <v>2.3400000000000001E-2</v>
      </c>
      <c r="F144" s="4">
        <f t="shared" si="62"/>
        <v>2.8520107000531221</v>
      </c>
      <c r="G144" s="40">
        <f t="shared" si="55"/>
        <v>385.20107000531152</v>
      </c>
      <c r="H144" s="37"/>
      <c r="I144" s="4">
        <v>2.3400000000000001E-2</v>
      </c>
      <c r="J144" s="4">
        <f t="shared" si="60"/>
        <v>3.4627105071328774</v>
      </c>
      <c r="K144" s="41">
        <f t="shared" si="56"/>
        <v>446.27105071328776</v>
      </c>
      <c r="L144" s="37"/>
      <c r="M144" s="4">
        <v>5.8700000000000002E-2</v>
      </c>
      <c r="N144" s="4">
        <f t="shared" si="63"/>
        <v>6.7162541161144391</v>
      </c>
      <c r="O144" s="40">
        <f t="shared" si="57"/>
        <v>771.62541161144441</v>
      </c>
      <c r="P144" s="37"/>
      <c r="Q144" s="4">
        <v>4.5999999999999999E-2</v>
      </c>
      <c r="R144" s="4">
        <f t="shared" si="50"/>
        <v>4.5732360127231804</v>
      </c>
      <c r="S144" s="41">
        <f t="shared" si="58"/>
        <v>557.32360127231868</v>
      </c>
    </row>
    <row r="145" spans="1:19" ht="13.5" x14ac:dyDescent="0.25">
      <c r="A145" s="2">
        <v>45657</v>
      </c>
      <c r="B145" s="49">
        <v>155499814.25</v>
      </c>
      <c r="C145" s="6">
        <v>204</v>
      </c>
      <c r="D145" s="36">
        <f>(1+E143)*(1+E144)*(1+E145)-1</f>
        <v>-5.0672750472000039E-2</v>
      </c>
      <c r="E145" s="4">
        <v>-5.7200000000000001E-2</v>
      </c>
      <c r="F145" s="4">
        <f t="shared" si="62"/>
        <v>2.6316756880100836</v>
      </c>
      <c r="G145" s="40">
        <f t="shared" si="55"/>
        <v>363.16756880100769</v>
      </c>
      <c r="H145" s="36">
        <f>(1+I143)*(1+I144)*(1+I145)-1</f>
        <v>-4.8743027431999986E-2</v>
      </c>
      <c r="I145" s="4">
        <v>-5.7200000000000001E-2</v>
      </c>
      <c r="J145" s="4">
        <f t="shared" si="60"/>
        <v>3.207443466124877</v>
      </c>
      <c r="K145" s="41">
        <f t="shared" si="56"/>
        <v>420.74434661248767</v>
      </c>
      <c r="L145" s="36">
        <f>(1+M143)*(1+M144)*(1+M145)-1</f>
        <v>2.4098063245999946E-2</v>
      </c>
      <c r="M145" s="4">
        <v>-2.3800000000000002E-2</v>
      </c>
      <c r="N145" s="4">
        <f t="shared" si="63"/>
        <v>6.5326072681509153</v>
      </c>
      <c r="O145" s="40">
        <f t="shared" si="57"/>
        <v>753.26072681509197</v>
      </c>
      <c r="P145" s="36">
        <f>(1+Q143)*(1+Q144)*(1+Q145)-1</f>
        <v>-4.1400621999999943E-2</v>
      </c>
      <c r="Q145" s="4">
        <v>-7.4300000000000005E-2</v>
      </c>
      <c r="R145" s="4">
        <f t="shared" si="50"/>
        <v>4.1591445769778481</v>
      </c>
      <c r="S145" s="41">
        <f t="shared" si="58"/>
        <v>515.91445769778534</v>
      </c>
    </row>
    <row r="146" spans="1:19" ht="13.5" x14ac:dyDescent="0.25">
      <c r="A146" s="2">
        <v>45688</v>
      </c>
      <c r="B146" s="49">
        <v>157263053.41999999</v>
      </c>
      <c r="C146" s="6">
        <v>202</v>
      </c>
      <c r="D146" s="37"/>
      <c r="E146" s="4">
        <v>1.7600000000000001E-2</v>
      </c>
      <c r="F146" s="4">
        <f t="shared" si="62"/>
        <v>2.6955931801190611</v>
      </c>
      <c r="G146" s="40">
        <f t="shared" si="55"/>
        <v>369.55931801190548</v>
      </c>
      <c r="H146" s="37"/>
      <c r="I146" s="4">
        <v>2.0899999999999998E-2</v>
      </c>
      <c r="J146" s="4">
        <f t="shared" si="60"/>
        <v>3.2953790345668867</v>
      </c>
      <c r="K146" s="41">
        <f t="shared" si="56"/>
        <v>429.53790345668864</v>
      </c>
      <c r="L146" s="37"/>
      <c r="M146" s="4">
        <v>2.7799999999999998E-2</v>
      </c>
      <c r="N146" s="4">
        <f t="shared" si="63"/>
        <v>6.7420137502055111</v>
      </c>
      <c r="O146" s="40">
        <f t="shared" si="57"/>
        <v>774.20137502055161</v>
      </c>
      <c r="P146" s="37"/>
      <c r="Q146" s="4">
        <v>2.0899999999999998E-2</v>
      </c>
      <c r="R146" s="4">
        <f t="shared" si="50"/>
        <v>4.2669706986366851</v>
      </c>
      <c r="S146" s="41">
        <f t="shared" si="58"/>
        <v>526.69706986366896</v>
      </c>
    </row>
    <row r="147" spans="1:19" ht="13.5" x14ac:dyDescent="0.25">
      <c r="A147" s="2">
        <v>45716</v>
      </c>
      <c r="B147" s="49">
        <v>158965198.41999999</v>
      </c>
      <c r="C147" s="6">
        <v>201</v>
      </c>
      <c r="D147" s="37"/>
      <c r="E147" s="4">
        <v>1.3899999999999999E-2</v>
      </c>
      <c r="F147" s="4">
        <f t="shared" si="62"/>
        <v>2.746961925322716</v>
      </c>
      <c r="G147" s="40">
        <f t="shared" si="55"/>
        <v>374.69619253227097</v>
      </c>
      <c r="H147" s="37"/>
      <c r="I147" s="4">
        <v>1.3899999999999999E-2</v>
      </c>
      <c r="J147" s="4">
        <f t="shared" si="60"/>
        <v>3.355084803147367</v>
      </c>
      <c r="K147" s="41">
        <f t="shared" si="56"/>
        <v>435.50848031473663</v>
      </c>
      <c r="L147" s="37"/>
      <c r="M147" s="4">
        <v>-1.2999999999999999E-2</v>
      </c>
      <c r="N147" s="4">
        <f t="shared" si="63"/>
        <v>6.6413675714528395</v>
      </c>
      <c r="O147" s="40">
        <f t="shared" si="57"/>
        <v>764.13675714528438</v>
      </c>
      <c r="P147" s="37"/>
      <c r="Q147" s="4">
        <v>2.29E-2</v>
      </c>
      <c r="R147" s="4">
        <f t="shared" si="50"/>
        <v>4.3875843276354649</v>
      </c>
      <c r="S147" s="41">
        <f t="shared" si="58"/>
        <v>538.75843276354692</v>
      </c>
    </row>
    <row r="148" spans="1:19" ht="13.5" x14ac:dyDescent="0.25">
      <c r="A148" s="2">
        <v>45747</v>
      </c>
      <c r="B148" s="49">
        <v>156407426.19</v>
      </c>
      <c r="C148" s="6">
        <v>201</v>
      </c>
      <c r="D148" s="36">
        <f>(1+E146)*(1+E147)*(1+E148)-1</f>
        <v>1.1316096128000108E-2</v>
      </c>
      <c r="E148" s="4">
        <v>-1.9800000000000002E-2</v>
      </c>
      <c r="F148" s="4">
        <f t="shared" si="62"/>
        <v>2.6727720792013261</v>
      </c>
      <c r="G148" s="40">
        <f t="shared" si="55"/>
        <v>367.27720792013201</v>
      </c>
      <c r="H148" s="36">
        <f>(1+I146)*(1+I147)*(1+I148)-1</f>
        <v>1.4595717901999761E-2</v>
      </c>
      <c r="I148" s="4">
        <v>-1.9800000000000002E-2</v>
      </c>
      <c r="J148" s="4">
        <f t="shared" si="60"/>
        <v>3.268854124045049</v>
      </c>
      <c r="K148" s="41">
        <f t="shared" si="56"/>
        <v>426.88541240450485</v>
      </c>
      <c r="L148" s="36">
        <f>(1+M146)*(1+M147)*(1+M148)-1</f>
        <v>-4.2674293179999934E-2</v>
      </c>
      <c r="M148" s="4">
        <v>-5.6300000000000003E-2</v>
      </c>
      <c r="N148" s="4">
        <f t="shared" si="63"/>
        <v>6.2111585771800444</v>
      </c>
      <c r="O148" s="40">
        <f t="shared" si="57"/>
        <v>721.1158577180048</v>
      </c>
      <c r="P148" s="36">
        <f>(1+Q146)*(1+Q147)*(1+Q148)-1</f>
        <v>3.4253535343999886E-2</v>
      </c>
      <c r="Q148" s="4">
        <v>-9.5999999999999992E-3</v>
      </c>
      <c r="R148" s="4">
        <f t="shared" si="50"/>
        <v>4.3358635180901643</v>
      </c>
      <c r="S148" s="41">
        <f t="shared" si="58"/>
        <v>533.58635180901683</v>
      </c>
    </row>
    <row r="149" spans="1:19" ht="13.5" x14ac:dyDescent="0.25">
      <c r="A149" s="2">
        <v>45777</v>
      </c>
      <c r="B149" s="49">
        <v>148968437.22</v>
      </c>
      <c r="C149" s="6">
        <v>201</v>
      </c>
      <c r="D149" s="37"/>
      <c r="E149" s="4">
        <v>-5.0200000000000002E-2</v>
      </c>
      <c r="F149" s="4">
        <f t="shared" ref="F149:F157" si="64">(F148+1)*(E149+1)-1</f>
        <v>2.4883989208254196</v>
      </c>
      <c r="G149" s="40">
        <f t="shared" si="55"/>
        <v>348.83989208254138</v>
      </c>
      <c r="H149" s="37"/>
      <c r="I149" s="4">
        <v>-4.6899999999999997E-2</v>
      </c>
      <c r="J149" s="4">
        <f t="shared" si="60"/>
        <v>3.0686448656273368</v>
      </c>
      <c r="K149" s="41">
        <f t="shared" si="56"/>
        <v>406.86448656273359</v>
      </c>
      <c r="L149" s="37"/>
      <c r="M149" s="4">
        <v>-6.7999999999999996E-3</v>
      </c>
      <c r="N149" s="4">
        <f t="shared" ref="N149:N157" si="65">(N148+1)*(M149+1)-1</f>
        <v>6.16212269885522</v>
      </c>
      <c r="O149" s="40">
        <f t="shared" si="57"/>
        <v>716.21226988552235</v>
      </c>
      <c r="P149" s="37"/>
      <c r="Q149" s="4">
        <v>-5.3400000000000003E-2</v>
      </c>
      <c r="R149" s="4">
        <f t="shared" si="50"/>
        <v>4.0509284062241493</v>
      </c>
      <c r="S149" s="41">
        <f t="shared" si="58"/>
        <v>505.09284062241534</v>
      </c>
    </row>
    <row r="150" spans="1:19" ht="13.5" x14ac:dyDescent="0.25">
      <c r="A150" s="2">
        <v>45808</v>
      </c>
      <c r="B150" s="49">
        <v>163063340.72999999</v>
      </c>
      <c r="C150" s="6">
        <v>200</v>
      </c>
      <c r="D150" s="37"/>
      <c r="E150" s="4">
        <v>2.5600000000000001E-2</v>
      </c>
      <c r="F150" s="4">
        <f t="shared" si="64"/>
        <v>2.5777019331985507</v>
      </c>
      <c r="G150" s="40">
        <f t="shared" si="55"/>
        <v>357.77019331985446</v>
      </c>
      <c r="H150" s="37"/>
      <c r="I150" s="4">
        <v>2.5600000000000001E-2</v>
      </c>
      <c r="J150" s="4">
        <f t="shared" si="60"/>
        <v>3.1728021741873969</v>
      </c>
      <c r="K150" s="41">
        <f t="shared" si="56"/>
        <v>417.2802174187396</v>
      </c>
      <c r="L150" s="37"/>
      <c r="M150" s="4">
        <v>6.2899999999999998E-2</v>
      </c>
      <c r="N150" s="4">
        <f t="shared" si="65"/>
        <v>6.6126202166132133</v>
      </c>
      <c r="O150" s="40">
        <f t="shared" si="57"/>
        <v>761.26202166132168</v>
      </c>
      <c r="P150" s="37"/>
      <c r="Q150" s="4">
        <v>1.47E-2</v>
      </c>
      <c r="R150" s="4">
        <f t="shared" si="50"/>
        <v>4.1251770537956443</v>
      </c>
      <c r="S150" s="41">
        <f t="shared" si="58"/>
        <v>512.51770537956486</v>
      </c>
    </row>
    <row r="151" spans="1:19" ht="13.5" x14ac:dyDescent="0.25">
      <c r="A151" s="2">
        <v>45838</v>
      </c>
      <c r="B151" s="49">
        <v>167817406.40000001</v>
      </c>
      <c r="C151" s="6">
        <v>203</v>
      </c>
      <c r="D151" s="36">
        <f>(1+E149)*(1+E150)*(1+E151)-1</f>
        <v>-3.9675352000000386E-3</v>
      </c>
      <c r="E151" s="4">
        <v>2.2499999999999999E-2</v>
      </c>
      <c r="F151" s="4">
        <f t="shared" si="64"/>
        <v>2.6582002266955178</v>
      </c>
      <c r="G151" s="40">
        <f t="shared" si="55"/>
        <v>365.82002266955118</v>
      </c>
      <c r="H151" s="36">
        <f>(1+I149)*(1+I150)*(1+I151)-1</f>
        <v>-5.0690439999989678E-4</v>
      </c>
      <c r="I151" s="4">
        <v>2.2499999999999999E-2</v>
      </c>
      <c r="J151" s="4">
        <f t="shared" si="60"/>
        <v>3.2666902231066128</v>
      </c>
      <c r="K151" s="41">
        <f t="shared" si="56"/>
        <v>426.66902231066121</v>
      </c>
      <c r="L151" s="36">
        <f>(1+M149)*(1+M150)*(1+M151)-1</f>
        <v>0.10940599905199999</v>
      </c>
      <c r="M151" s="4">
        <v>5.0900000000000001E-2</v>
      </c>
      <c r="N151" s="4">
        <f t="shared" si="65"/>
        <v>7.0001025856388246</v>
      </c>
      <c r="O151" s="40">
        <f t="shared" si="57"/>
        <v>800.01025856388287</v>
      </c>
      <c r="P151" s="36">
        <f>(1+Q149)*(1+Q150)*(1+Q151)-1</f>
        <v>-2.9495623792000103E-2</v>
      </c>
      <c r="Q151" s="4">
        <v>1.04E-2</v>
      </c>
      <c r="R151" s="4">
        <f t="shared" si="50"/>
        <v>4.1784788951551191</v>
      </c>
      <c r="S151" s="41">
        <f t="shared" si="58"/>
        <v>517.84788951551229</v>
      </c>
    </row>
    <row r="152" spans="1:19" ht="13.5" x14ac:dyDescent="0.25">
      <c r="A152" s="2">
        <v>45869</v>
      </c>
      <c r="B152" s="49">
        <v>161928982.78</v>
      </c>
      <c r="C152" s="6">
        <v>200</v>
      </c>
      <c r="D152" s="37"/>
      <c r="E152" s="4">
        <v>-1.8200000000000001E-2</v>
      </c>
      <c r="F152" s="4">
        <f t="shared" si="64"/>
        <v>2.5916209825696592</v>
      </c>
      <c r="G152" s="40">
        <f t="shared" ref="G152:G157" si="66">G151*(1+E152)</f>
        <v>359.16209825696535</v>
      </c>
      <c r="H152" s="37"/>
      <c r="I152" s="4">
        <v>-1.6299999999999999E-2</v>
      </c>
      <c r="J152" s="4">
        <f t="shared" ref="J152:J157" si="67">(J151+1)*(I152+1)-1</f>
        <v>3.1971431724699748</v>
      </c>
      <c r="K152" s="41">
        <f t="shared" ref="K152:K157" si="68">K151*(1+I152)</f>
        <v>419.71431724699744</v>
      </c>
      <c r="L152" s="37"/>
      <c r="M152" s="4">
        <v>2.24E-2</v>
      </c>
      <c r="N152" s="4">
        <f t="shared" si="65"/>
        <v>7.1793048835571334</v>
      </c>
      <c r="O152" s="40">
        <f t="shared" ref="O152:O157" si="69">O151*(1+M152)</f>
        <v>817.93048835571381</v>
      </c>
      <c r="P152" s="37"/>
      <c r="Q152" s="4">
        <v>6.4000000000000003E-3</v>
      </c>
      <c r="R152" s="4">
        <f t="shared" ref="R152:R157" si="70">(R151+1)*(Q152+1)-1</f>
        <v>4.2116211600841114</v>
      </c>
      <c r="S152" s="41">
        <f t="shared" ref="S152:S157" si="71">S151*(1+Q152)</f>
        <v>521.16211600841154</v>
      </c>
    </row>
    <row r="153" spans="1:19" ht="13.5" x14ac:dyDescent="0.25">
      <c r="A153" s="2">
        <v>45900</v>
      </c>
      <c r="B153" s="49">
        <v>167778946.46000001</v>
      </c>
      <c r="C153" s="6">
        <v>201</v>
      </c>
      <c r="D153" s="37"/>
      <c r="E153" s="4">
        <v>3.7199999999999997E-2</v>
      </c>
      <c r="F153" s="4">
        <f t="shared" si="64"/>
        <v>2.7252292831212501</v>
      </c>
      <c r="G153" s="40">
        <f t="shared" si="66"/>
        <v>372.52292831212441</v>
      </c>
      <c r="H153" s="37"/>
      <c r="I153" s="4">
        <v>3.7199999999999997E-2</v>
      </c>
      <c r="J153" s="4">
        <f t="shared" si="67"/>
        <v>3.3532768984858574</v>
      </c>
      <c r="K153" s="41">
        <f t="shared" si="68"/>
        <v>435.32768984858569</v>
      </c>
      <c r="L153" s="37"/>
      <c r="M153" s="4">
        <v>2.0299999999999999E-2</v>
      </c>
      <c r="N153" s="4">
        <f t="shared" si="65"/>
        <v>7.345344772693343</v>
      </c>
      <c r="O153" s="40">
        <f t="shared" si="69"/>
        <v>834.53447726933473</v>
      </c>
      <c r="P153" s="37"/>
      <c r="Q153" s="4">
        <v>5.2600000000000001E-2</v>
      </c>
      <c r="R153" s="4">
        <f t="shared" si="70"/>
        <v>4.4857524331045351</v>
      </c>
      <c r="S153" s="41">
        <f t="shared" si="71"/>
        <v>548.57524331045397</v>
      </c>
    </row>
    <row r="154" spans="1:19" ht="13.5" x14ac:dyDescent="0.25">
      <c r="A154" s="2">
        <v>45930</v>
      </c>
      <c r="B154" s="49">
        <v>167282129.65000001</v>
      </c>
      <c r="C154" s="6">
        <v>201</v>
      </c>
      <c r="D154" s="36">
        <f>(1+E152)*(1+E153)*(1+E154)-1</f>
        <v>2.4229233167999853E-2</v>
      </c>
      <c r="E154" s="4">
        <v>5.7999999999999996E-3</v>
      </c>
      <c r="F154" s="4">
        <f t="shared" si="64"/>
        <v>2.7468356129633533</v>
      </c>
      <c r="G154" s="40">
        <f t="shared" si="66"/>
        <v>374.68356129633474</v>
      </c>
      <c r="H154" s="36">
        <f>(1+I152)*(1+I153)*(1+I154)-1</f>
        <v>2.6211343112000129E-2</v>
      </c>
      <c r="I154" s="4">
        <v>5.7999999999999996E-3</v>
      </c>
      <c r="J154" s="4">
        <f t="shared" si="67"/>
        <v>3.3785259044970752</v>
      </c>
      <c r="K154" s="41">
        <f t="shared" si="68"/>
        <v>437.85259044970752</v>
      </c>
      <c r="L154" s="36">
        <f>(1+M152)*(1+M153)*(1+M154)-1</f>
        <v>8.1229867280000034E-2</v>
      </c>
      <c r="M154" s="4">
        <v>3.6499999999999998E-2</v>
      </c>
      <c r="N154" s="4">
        <f t="shared" si="65"/>
        <v>7.6499498568966491</v>
      </c>
      <c r="O154" s="40">
        <f t="shared" si="69"/>
        <v>864.99498568966544</v>
      </c>
      <c r="P154" s="36">
        <f>(1+Q152)*(1+Q153)*(1+Q154)-1</f>
        <v>4.8001737951999912E-2</v>
      </c>
      <c r="Q154" s="4">
        <v>-1.0699999999999999E-2</v>
      </c>
      <c r="R154" s="4">
        <f t="shared" si="70"/>
        <v>4.4270548820703164</v>
      </c>
      <c r="S154" s="41">
        <f t="shared" si="71"/>
        <v>542.70548820703209</v>
      </c>
    </row>
    <row r="155" spans="1:19" ht="13.5" x14ac:dyDescent="0.25">
      <c r="A155" s="2">
        <v>45961</v>
      </c>
      <c r="B155" s="49">
        <v>165387482.12</v>
      </c>
      <c r="C155" s="6">
        <v>201</v>
      </c>
      <c r="D155" s="37"/>
      <c r="E155" s="4">
        <v>-8.0999999999999996E-3</v>
      </c>
      <c r="F155" s="4">
        <f t="shared" si="64"/>
        <v>2.7164862444983502</v>
      </c>
      <c r="G155" s="40">
        <f t="shared" si="66"/>
        <v>371.64862444983441</v>
      </c>
      <c r="H155" s="37"/>
      <c r="I155" s="4">
        <v>-6.1999999999999998E-3</v>
      </c>
      <c r="J155" s="4">
        <f t="shared" si="67"/>
        <v>3.3513790438891933</v>
      </c>
      <c r="K155" s="41">
        <f t="shared" si="68"/>
        <v>435.13790438891937</v>
      </c>
      <c r="L155" s="37"/>
      <c r="M155" s="4">
        <v>2.3400000000000001E-2</v>
      </c>
      <c r="N155" s="4">
        <f t="shared" si="65"/>
        <v>7.8523586835480312</v>
      </c>
      <c r="O155" s="40">
        <f t="shared" si="69"/>
        <v>885.23586835480364</v>
      </c>
      <c r="P155" s="37"/>
      <c r="Q155" s="4">
        <v>-3.3000000000000002E-2</v>
      </c>
      <c r="R155" s="4">
        <f t="shared" si="70"/>
        <v>4.2479620709619956</v>
      </c>
      <c r="S155" s="41">
        <f t="shared" si="71"/>
        <v>524.79620709619996</v>
      </c>
    </row>
    <row r="156" spans="1:19" ht="13.5" x14ac:dyDescent="0.25">
      <c r="A156" s="2">
        <v>45991</v>
      </c>
      <c r="B156" s="49">
        <v>173825275.28999999</v>
      </c>
      <c r="C156" s="6">
        <v>200</v>
      </c>
      <c r="D156" s="37"/>
      <c r="E156" s="4">
        <v>3.1800000000000002E-2</v>
      </c>
      <c r="F156" s="4">
        <f t="shared" si="64"/>
        <v>2.834670507073398</v>
      </c>
      <c r="G156" s="40">
        <f t="shared" si="66"/>
        <v>383.46705070733918</v>
      </c>
      <c r="H156" s="37"/>
      <c r="I156" s="4">
        <v>3.1899999999999998E-2</v>
      </c>
      <c r="J156" s="4">
        <f t="shared" si="67"/>
        <v>3.4901880353892585</v>
      </c>
      <c r="K156" s="41">
        <f t="shared" si="68"/>
        <v>449.01880353892591</v>
      </c>
      <c r="L156" s="37"/>
      <c r="M156" s="4">
        <v>2.5000000000000001E-3</v>
      </c>
      <c r="N156" s="4">
        <f t="shared" si="65"/>
        <v>7.8744895802569008</v>
      </c>
      <c r="O156" s="40">
        <f t="shared" si="69"/>
        <v>887.44895802569056</v>
      </c>
      <c r="P156" s="37"/>
      <c r="Q156" s="4">
        <v>3.0800000000000001E-2</v>
      </c>
      <c r="R156" s="4">
        <f t="shared" si="70"/>
        <v>4.4095993027476243</v>
      </c>
      <c r="S156" s="41">
        <f t="shared" si="71"/>
        <v>540.95993027476288</v>
      </c>
    </row>
    <row r="157" spans="1:19" ht="13.5" x14ac:dyDescent="0.25">
      <c r="A157" s="2">
        <v>46022</v>
      </c>
      <c r="B157" s="49">
        <v>171455232.91999999</v>
      </c>
      <c r="C157" s="6">
        <v>196</v>
      </c>
      <c r="D157" s="36">
        <f>(1+E155)*(1+E156)*(1+E157)-1</f>
        <v>2.2111944854000143E-2</v>
      </c>
      <c r="E157" s="4">
        <v>-1.2999999999999999E-3</v>
      </c>
      <c r="F157" s="4">
        <f t="shared" si="64"/>
        <v>2.8296854354142025</v>
      </c>
      <c r="G157" s="40">
        <f t="shared" si="66"/>
        <v>382.96854354141965</v>
      </c>
      <c r="H157" s="36">
        <f>(1+I155)*(1+I156)*(1+I157)-1</f>
        <v>2.4271617336000251E-2</v>
      </c>
      <c r="I157" s="4">
        <v>-1.1999999999999999E-3</v>
      </c>
      <c r="J157" s="4">
        <f t="shared" si="67"/>
        <v>3.4847998097467912</v>
      </c>
      <c r="K157" s="41">
        <f t="shared" si="68"/>
        <v>448.47998097467922</v>
      </c>
      <c r="L157" s="36">
        <f>(1+M155)*(1+M156)*(1+M157)-1</f>
        <v>2.6574075099999872E-2</v>
      </c>
      <c r="M157" s="4">
        <v>5.9999999999999995E-4</v>
      </c>
      <c r="N157" s="4">
        <f t="shared" si="65"/>
        <v>7.8798142740050547</v>
      </c>
      <c r="O157" s="40">
        <f t="shared" si="69"/>
        <v>887.98142740050594</v>
      </c>
      <c r="P157" s="36">
        <f>(1+Q155)*(1+Q156)*(1+Q157)-1</f>
        <v>-4.9109321200001554E-3</v>
      </c>
      <c r="Q157" s="4">
        <v>-1.6999999999999999E-3</v>
      </c>
      <c r="R157" s="4">
        <f t="shared" si="70"/>
        <v>4.4004029839329535</v>
      </c>
      <c r="S157" s="41">
        <f t="shared" si="71"/>
        <v>540.04029839329576</v>
      </c>
    </row>
    <row r="158" spans="1:19" ht="13.5" x14ac:dyDescent="0.25">
      <c r="A158" s="2">
        <v>46053</v>
      </c>
      <c r="B158" s="57">
        <v>184788341.68000001</v>
      </c>
      <c r="C158" s="6">
        <v>199</v>
      </c>
      <c r="D158" s="56"/>
      <c r="E158" s="4">
        <v>7.6100000000000001E-2</v>
      </c>
      <c r="F158" s="4">
        <f t="shared" ref="F158:F163" si="72">(F157+1)*(E158+1)-1</f>
        <v>3.1211244970492231</v>
      </c>
      <c r="G158" s="40">
        <f t="shared" ref="G158:G163" si="73">G157*(1+E158)</f>
        <v>412.11244970492169</v>
      </c>
      <c r="H158" s="56"/>
      <c r="I158" s="4">
        <v>7.8E-2</v>
      </c>
      <c r="J158" s="4">
        <f t="shared" ref="J158:J163" si="74">(J157+1)*(I158+1)-1</f>
        <v>3.8346141949070409</v>
      </c>
      <c r="K158" s="41">
        <f t="shared" ref="K158:K163" si="75">K157*(1+I158)</f>
        <v>483.46141949070426</v>
      </c>
      <c r="L158" s="56"/>
      <c r="M158" s="4">
        <v>1.4500000000000001E-2</v>
      </c>
      <c r="N158" s="4">
        <f t="shared" ref="N158:N163" si="76">(N157+1)*(M158+1)-1</f>
        <v>8.0085715809781277</v>
      </c>
      <c r="O158" s="40">
        <f t="shared" ref="O158:O163" si="77">O157*(1+M158)</f>
        <v>900.85715809781323</v>
      </c>
      <c r="P158" s="56"/>
      <c r="Q158" s="4">
        <v>4.7600000000000003E-2</v>
      </c>
      <c r="R158" s="4">
        <f t="shared" ref="R158:R163" si="78">(R157+1)*(Q158+1)-1</f>
        <v>4.6574621659681625</v>
      </c>
      <c r="S158" s="41">
        <f t="shared" ref="S158:S163" si="79">S157*(1+Q158)</f>
        <v>565.74621659681668</v>
      </c>
    </row>
    <row r="159" spans="1:19" ht="13.5" x14ac:dyDescent="0.25">
      <c r="A159" s="2">
        <v>46081</v>
      </c>
      <c r="B159" s="57">
        <v>191099570.77000001</v>
      </c>
      <c r="C159" s="6">
        <v>202</v>
      </c>
      <c r="D159" s="56"/>
      <c r="E159" s="4">
        <v>3.15E-2</v>
      </c>
      <c r="F159" s="4">
        <f t="shared" si="72"/>
        <v>3.2509399187062744</v>
      </c>
      <c r="G159" s="40">
        <f t="shared" si="73"/>
        <v>425.09399187062678</v>
      </c>
      <c r="H159" s="56"/>
      <c r="I159" s="4">
        <v>3.15E-2</v>
      </c>
      <c r="J159" s="4">
        <f t="shared" si="74"/>
        <v>3.9869045420466129</v>
      </c>
      <c r="K159" s="41">
        <f t="shared" si="75"/>
        <v>498.69045420466148</v>
      </c>
      <c r="L159" s="56"/>
      <c r="M159" s="4">
        <v>-7.6E-3</v>
      </c>
      <c r="N159" s="4">
        <f t="shared" si="76"/>
        <v>7.9401064369626937</v>
      </c>
      <c r="O159" s="40">
        <f t="shared" si="77"/>
        <v>894.01064369626977</v>
      </c>
      <c r="P159" s="56"/>
      <c r="Q159" s="4">
        <v>6.0199999999999997E-2</v>
      </c>
      <c r="R159" s="4">
        <f t="shared" si="78"/>
        <v>4.9980413883594457</v>
      </c>
      <c r="S159" s="41">
        <f t="shared" si="79"/>
        <v>599.80413883594508</v>
      </c>
    </row>
    <row r="160" spans="1:19" ht="13.5" x14ac:dyDescent="0.25">
      <c r="A160" s="2">
        <v>46112</v>
      </c>
      <c r="B160" s="57">
        <v>182535782.99000001</v>
      </c>
      <c r="C160" s="6">
        <v>203</v>
      </c>
      <c r="D160" s="56">
        <f>(1+E158)*(1+E159)*(1+E160)-1</f>
        <v>6.2822271125000162E-2</v>
      </c>
      <c r="E160" s="4">
        <v>-4.2500000000000003E-2</v>
      </c>
      <c r="F160" s="4">
        <f t="shared" si="72"/>
        <v>3.0702749721612577</v>
      </c>
      <c r="G160" s="40">
        <f t="shared" si="73"/>
        <v>407.02749721612514</v>
      </c>
      <c r="H160" s="56">
        <f>(1+I158)*(1+I159)*(1+I160)-1</f>
        <v>6.46988275E-2</v>
      </c>
      <c r="I160" s="4">
        <v>-4.2500000000000003E-2</v>
      </c>
      <c r="J160" s="4">
        <f t="shared" si="74"/>
        <v>3.7749610990096318</v>
      </c>
      <c r="K160" s="41">
        <f t="shared" si="75"/>
        <v>477.49610990096335</v>
      </c>
      <c r="L160" s="56">
        <f>(1+M158)*(1+M159)*(1+M160)-1</f>
        <v>-4.3348332039999993E-2</v>
      </c>
      <c r="M160" s="4">
        <v>-4.9799999999999997E-2</v>
      </c>
      <c r="N160" s="4">
        <f t="shared" si="76"/>
        <v>7.4948891364019516</v>
      </c>
      <c r="O160" s="40">
        <f t="shared" si="77"/>
        <v>849.48891364019562</v>
      </c>
      <c r="P160" s="56">
        <f>(1+Q158)*(1+Q159)*(1+Q160)-1</f>
        <v>6.4572900920000231E-2</v>
      </c>
      <c r="Q160" s="4">
        <v>-4.1500000000000002E-2</v>
      </c>
      <c r="R160" s="4">
        <f t="shared" si="78"/>
        <v>4.7491226707425289</v>
      </c>
      <c r="S160" s="41">
        <f t="shared" si="79"/>
        <v>574.91226707425335</v>
      </c>
    </row>
    <row r="161" spans="1:19" ht="13.5" x14ac:dyDescent="0.25">
      <c r="A161" s="2">
        <v>46142</v>
      </c>
      <c r="B161" s="57">
        <v>188024545.56</v>
      </c>
      <c r="C161" s="6">
        <v>203</v>
      </c>
      <c r="D161" s="56"/>
      <c r="E161" s="4">
        <v>0.03</v>
      </c>
      <c r="F161" s="4">
        <f t="shared" si="72"/>
        <v>3.1923832213260956</v>
      </c>
      <c r="G161" s="40">
        <f t="shared" si="73"/>
        <v>419.23832213260891</v>
      </c>
      <c r="H161" s="56"/>
      <c r="I161" s="4">
        <v>3.2000000000000001E-2</v>
      </c>
      <c r="J161" s="4">
        <f t="shared" si="74"/>
        <v>3.9277598541779399</v>
      </c>
      <c r="K161" s="41">
        <f t="shared" si="75"/>
        <v>492.77598541779417</v>
      </c>
      <c r="L161" s="56"/>
      <c r="M161" s="4">
        <v>0.10489999999999999</v>
      </c>
      <c r="N161" s="4">
        <f t="shared" si="76"/>
        <v>8.3860030068105171</v>
      </c>
      <c r="O161" s="40">
        <f t="shared" si="77"/>
        <v>938.60030068105209</v>
      </c>
      <c r="P161" s="56"/>
      <c r="Q161" s="4">
        <v>3.3099999999999997E-2</v>
      </c>
      <c r="R161" s="4">
        <f t="shared" si="78"/>
        <v>4.9394186311441057</v>
      </c>
      <c r="S161" s="41">
        <f t="shared" si="79"/>
        <v>593.94186311441103</v>
      </c>
    </row>
    <row r="162" spans="1:19" ht="13.5" x14ac:dyDescent="0.25">
      <c r="A162" s="2">
        <v>46173</v>
      </c>
      <c r="B162" s="57">
        <v>186383565.33000001</v>
      </c>
      <c r="C162" s="6">
        <v>203</v>
      </c>
      <c r="D162" s="56"/>
      <c r="E162" s="4">
        <v>-4.1999999999999997E-3</v>
      </c>
      <c r="F162" s="4">
        <f t="shared" si="72"/>
        <v>3.1747752117965264</v>
      </c>
      <c r="G162" s="40">
        <f t="shared" si="73"/>
        <v>417.47752117965194</v>
      </c>
      <c r="H162" s="56"/>
      <c r="I162" s="4">
        <v>-4.1999999999999997E-3</v>
      </c>
      <c r="J162" s="4">
        <f t="shared" si="74"/>
        <v>3.907063262790393</v>
      </c>
      <c r="K162" s="41">
        <f t="shared" si="75"/>
        <v>490.70632627903944</v>
      </c>
      <c r="L162" s="56"/>
      <c r="M162" s="4">
        <v>5.2600000000000001E-2</v>
      </c>
      <c r="N162" s="4">
        <f t="shared" si="76"/>
        <v>8.8797067649687502</v>
      </c>
      <c r="O162" s="40">
        <f t="shared" si="77"/>
        <v>987.9706764968754</v>
      </c>
      <c r="P162" s="56"/>
      <c r="Q162" s="4">
        <v>9.7000000000000003E-3</v>
      </c>
      <c r="R162" s="4">
        <f t="shared" si="78"/>
        <v>4.9970309918662039</v>
      </c>
      <c r="S162" s="41">
        <f t="shared" si="79"/>
        <v>599.70309918662088</v>
      </c>
    </row>
    <row r="163" spans="1:19" ht="13.5" x14ac:dyDescent="0.25">
      <c r="A163" s="2">
        <v>46203</v>
      </c>
      <c r="B163" s="57">
        <v>189194104.38999999</v>
      </c>
      <c r="C163" s="6">
        <v>203</v>
      </c>
      <c r="D163" s="56">
        <f>(1+E161)*(1+E162)*(1+E163)-1</f>
        <v>4.2905323199999845E-2</v>
      </c>
      <c r="E163" s="4">
        <v>1.6799999999999999E-2</v>
      </c>
      <c r="F163" s="4">
        <f t="shared" si="72"/>
        <v>3.2449114353547079</v>
      </c>
      <c r="G163" s="40">
        <f t="shared" si="73"/>
        <v>424.49114353547009</v>
      </c>
      <c r="H163" s="56">
        <f>(1+I161)*(1+I162)*(1+I163)-1</f>
        <v>4.4930382079999776E-2</v>
      </c>
      <c r="I163" s="4">
        <v>1.6799999999999999E-2</v>
      </c>
      <c r="J163" s="4">
        <f t="shared" si="74"/>
        <v>3.9895019256052713</v>
      </c>
      <c r="K163" s="41">
        <f t="shared" si="75"/>
        <v>498.95019256052728</v>
      </c>
      <c r="L163" s="56">
        <f>(1+M161)*(1+M162)*(1+M163)-1</f>
        <v>0.15196907146999994</v>
      </c>
      <c r="M163" s="4">
        <v>-9.4999999999999998E-3</v>
      </c>
      <c r="N163" s="4">
        <f t="shared" si="76"/>
        <v>8.7858495507015473</v>
      </c>
      <c r="O163" s="40">
        <f t="shared" si="77"/>
        <v>978.58495507015516</v>
      </c>
      <c r="P163" s="56">
        <f>(1+Q161)*(1+Q162)*(1+Q163)-1</f>
        <v>5.9811007119999982E-2</v>
      </c>
      <c r="Q163" s="4">
        <v>1.6E-2</v>
      </c>
      <c r="R163" s="4">
        <f t="shared" si="78"/>
        <v>5.0929834877360634</v>
      </c>
      <c r="S163" s="41">
        <f t="shared" si="79"/>
        <v>609.29834877360679</v>
      </c>
    </row>
    <row r="164" spans="1:19" ht="13.5" x14ac:dyDescent="0.25">
      <c r="A164" s="2">
        <v>46234</v>
      </c>
      <c r="B164" s="57">
        <v>197993427.38999999</v>
      </c>
      <c r="C164" s="6">
        <v>205</v>
      </c>
      <c r="D164" s="56"/>
      <c r="E164" s="4">
        <v>4.2200000000000001E-2</v>
      </c>
      <c r="F164" s="4">
        <f t="shared" ref="F164:F166" si="80">(F163+1)*(E164+1)-1</f>
        <v>3.424046697926677</v>
      </c>
      <c r="G164" s="40">
        <f t="shared" ref="G164:G166" si="81">G163*(1+E164)</f>
        <v>442.40466979266694</v>
      </c>
      <c r="H164" s="56"/>
      <c r="I164" s="4">
        <v>4.41E-2</v>
      </c>
      <c r="J164" s="4">
        <f t="shared" ref="J164:J166" si="82">(J163+1)*(I164+1)-1</f>
        <v>4.2095389605244637</v>
      </c>
      <c r="K164" s="41">
        <f t="shared" ref="K164:K166" si="83">K163*(1+I164)</f>
        <v>520.95389605244657</v>
      </c>
      <c r="L164" s="56"/>
      <c r="M164" s="4">
        <v>-5.9999999999999995E-4</v>
      </c>
      <c r="N164" s="4">
        <f t="shared" ref="N164:N166" si="84">(N163+1)*(M164+1)-1</f>
        <v>8.7799780409711268</v>
      </c>
      <c r="O164" s="40">
        <f t="shared" ref="O164:O166" si="85">O163*(1+M164)</f>
        <v>977.99780409711298</v>
      </c>
      <c r="P164" s="56"/>
      <c r="Q164" s="4">
        <v>3.78E-2</v>
      </c>
      <c r="R164" s="4">
        <f t="shared" ref="R164:R166" si="86">(R163+1)*(Q164+1)-1</f>
        <v>5.3232982635724868</v>
      </c>
      <c r="S164" s="41">
        <f t="shared" ref="S164:S166" si="87">S163*(1+Q164)</f>
        <v>632.3298263572492</v>
      </c>
    </row>
    <row r="165" spans="1:19" ht="13.5" x14ac:dyDescent="0.25">
      <c r="A165" s="2">
        <v>46265</v>
      </c>
      <c r="B165" s="57">
        <v>202786845.99000001</v>
      </c>
      <c r="C165" s="6">
        <v>208</v>
      </c>
      <c r="D165" s="56"/>
      <c r="E165" s="4">
        <v>2.5999999999999999E-2</v>
      </c>
      <c r="F165" s="4">
        <f t="shared" si="80"/>
        <v>3.5390719120727709</v>
      </c>
      <c r="G165" s="40">
        <f t="shared" si="81"/>
        <v>453.9071912072763</v>
      </c>
      <c r="H165" s="56"/>
      <c r="I165" s="4">
        <v>2.5999999999999999E-2</v>
      </c>
      <c r="J165" s="4">
        <f t="shared" si="82"/>
        <v>4.3449869734980995</v>
      </c>
      <c r="K165" s="41">
        <f t="shared" si="83"/>
        <v>534.49869734981019</v>
      </c>
      <c r="L165" s="56"/>
      <c r="M165" s="4">
        <v>2.7199999999999998E-2</v>
      </c>
      <c r="N165" s="4">
        <f t="shared" si="84"/>
        <v>9.0459934436855409</v>
      </c>
      <c r="O165" s="40">
        <f t="shared" si="85"/>
        <v>1004.5993443685544</v>
      </c>
      <c r="P165" s="56"/>
      <c r="Q165" s="4">
        <v>2E-3</v>
      </c>
      <c r="R165" s="4">
        <f t="shared" si="86"/>
        <v>5.335944860099632</v>
      </c>
      <c r="S165" s="41">
        <f t="shared" si="87"/>
        <v>633.5944860099637</v>
      </c>
    </row>
    <row r="166" spans="1:19" ht="13.5" x14ac:dyDescent="0.25">
      <c r="A166" s="2">
        <v>46295</v>
      </c>
      <c r="B166" s="57">
        <v>192929285.28</v>
      </c>
      <c r="C166" s="6">
        <v>206</v>
      </c>
      <c r="D166" s="56">
        <f>(1+E164)*(1+E165)*(1+E166)-1</f>
        <v>2.4707506759999998E-2</v>
      </c>
      <c r="E166" s="4">
        <v>-4.1700000000000001E-2</v>
      </c>
      <c r="F166" s="4">
        <f t="shared" si="80"/>
        <v>3.3497926133393365</v>
      </c>
      <c r="G166" s="40">
        <f t="shared" si="81"/>
        <v>434.97926133393287</v>
      </c>
      <c r="H166" s="56">
        <f>(1+I164)*(1+I165)*(1+I166)-1</f>
        <v>2.65756167800002E-2</v>
      </c>
      <c r="I166" s="4">
        <v>-4.1700000000000001E-2</v>
      </c>
      <c r="J166" s="4">
        <f t="shared" si="82"/>
        <v>4.1221010167032288</v>
      </c>
      <c r="K166" s="41">
        <f t="shared" si="83"/>
        <v>512.21010167032307</v>
      </c>
      <c r="L166" s="56">
        <f>(1+M164)*(1+M165)*(1+M166)-1</f>
        <v>2.2990637119999935E-2</v>
      </c>
      <c r="M166" s="4">
        <v>-3.5000000000000001E-3</v>
      </c>
      <c r="N166" s="4">
        <f t="shared" si="84"/>
        <v>9.0108324666326425</v>
      </c>
      <c r="O166" s="40">
        <f t="shared" si="85"/>
        <v>1001.0832466632645</v>
      </c>
      <c r="P166" s="56">
        <f>(1+Q164)*(1+Q165)*(1+Q166)-1</f>
        <v>-3.8738995360000028E-2</v>
      </c>
      <c r="Q166" s="4">
        <v>-7.5600000000000001E-2</v>
      </c>
      <c r="R166" s="4">
        <f t="shared" si="86"/>
        <v>4.8569474286760999</v>
      </c>
      <c r="S166" s="41">
        <f t="shared" si="87"/>
        <v>585.69474286761044</v>
      </c>
    </row>
    <row r="167" spans="1:19" ht="13.5" x14ac:dyDescent="0.25">
      <c r="A167" s="1"/>
      <c r="B167" s="1"/>
      <c r="C167" s="1"/>
      <c r="D167" s="32"/>
      <c r="E167" s="1"/>
      <c r="F167" s="1"/>
      <c r="G167" s="1"/>
      <c r="H167" s="32"/>
      <c r="I167" s="1"/>
      <c r="J167" s="1"/>
      <c r="K167" s="13"/>
      <c r="M167" s="1"/>
      <c r="N167" s="1"/>
      <c r="Q167" s="1"/>
      <c r="R167" s="1"/>
    </row>
    <row r="168" spans="1:19" ht="13.5" x14ac:dyDescent="0.25">
      <c r="A168" s="1"/>
      <c r="B168" s="1"/>
      <c r="C168" s="1"/>
      <c r="D168" s="32"/>
      <c r="E168" s="1"/>
      <c r="F168" s="1"/>
      <c r="G168" s="1"/>
      <c r="H168" s="32"/>
      <c r="I168" s="1"/>
      <c r="J168" s="1"/>
      <c r="K168" s="13"/>
      <c r="M168" s="1"/>
      <c r="N168" s="1"/>
      <c r="Q168" s="1"/>
      <c r="R168" s="1"/>
    </row>
    <row r="169" spans="1:19" ht="15" x14ac:dyDescent="0.25">
      <c r="A169" s="11" t="s">
        <v>44</v>
      </c>
      <c r="B169" s="1"/>
      <c r="C169" s="1"/>
      <c r="D169" s="32"/>
      <c r="E169" s="1"/>
      <c r="F169" s="1"/>
      <c r="G169" s="1"/>
      <c r="H169" s="32"/>
      <c r="I169" s="1"/>
      <c r="J169" s="1"/>
      <c r="K169" s="13"/>
      <c r="M169" s="1"/>
      <c r="N169" s="1"/>
      <c r="Q169" s="1"/>
      <c r="R169" s="1"/>
    </row>
    <row r="170" spans="1:19" ht="40.5" x14ac:dyDescent="0.25">
      <c r="A170" s="7" t="s">
        <v>25</v>
      </c>
      <c r="B170" s="7" t="s">
        <v>1</v>
      </c>
      <c r="C170" s="7" t="s">
        <v>2</v>
      </c>
      <c r="D170" s="33" t="s">
        <v>55</v>
      </c>
      <c r="E170" s="7" t="s">
        <v>54</v>
      </c>
      <c r="F170" s="7" t="s">
        <v>5</v>
      </c>
      <c r="G170" s="7" t="s">
        <v>59</v>
      </c>
      <c r="H170" s="33" t="s">
        <v>52</v>
      </c>
      <c r="I170" s="7" t="s">
        <v>53</v>
      </c>
      <c r="J170" s="7" t="s">
        <v>4</v>
      </c>
      <c r="K170" s="14" t="s">
        <v>60</v>
      </c>
      <c r="L170" s="7" t="s">
        <v>63</v>
      </c>
      <c r="M170" s="7" t="s">
        <v>64</v>
      </c>
      <c r="N170" s="7" t="s">
        <v>75</v>
      </c>
      <c r="O170" s="7" t="s">
        <v>74</v>
      </c>
      <c r="P170" s="33" t="s">
        <v>85</v>
      </c>
      <c r="Q170" s="7" t="s">
        <v>86</v>
      </c>
      <c r="R170" s="7" t="s">
        <v>87</v>
      </c>
      <c r="S170" s="14" t="s">
        <v>88</v>
      </c>
    </row>
    <row r="171" spans="1:19" ht="13.5" x14ac:dyDescent="0.25">
      <c r="A171" s="2">
        <v>42004</v>
      </c>
      <c r="B171" s="48">
        <v>0</v>
      </c>
      <c r="C171" s="46">
        <v>0</v>
      </c>
      <c r="D171" s="47"/>
      <c r="E171" s="46"/>
      <c r="F171" s="20">
        <v>1</v>
      </c>
      <c r="G171" s="41">
        <v>100</v>
      </c>
      <c r="H171" s="34"/>
      <c r="I171" s="4"/>
      <c r="J171" s="20">
        <v>1</v>
      </c>
      <c r="K171" s="41">
        <v>100</v>
      </c>
      <c r="M171" s="4"/>
      <c r="N171" s="20">
        <v>1</v>
      </c>
      <c r="O171" s="41">
        <v>100</v>
      </c>
      <c r="Q171" s="4"/>
      <c r="R171" s="20">
        <v>1</v>
      </c>
      <c r="S171" s="41">
        <v>100</v>
      </c>
    </row>
    <row r="172" spans="1:19" ht="13.5" x14ac:dyDescent="0.25">
      <c r="A172" s="2">
        <v>42035</v>
      </c>
      <c r="B172" s="49">
        <v>140808.14000000001</v>
      </c>
      <c r="C172" s="6">
        <v>1</v>
      </c>
      <c r="D172" s="37"/>
      <c r="E172" s="4">
        <v>-2.92E-2</v>
      </c>
      <c r="F172" s="4">
        <f>(F171)*(E172+1)</f>
        <v>0.9708</v>
      </c>
      <c r="G172" s="41">
        <f>G171*(1+E172)</f>
        <v>97.08</v>
      </c>
      <c r="H172" s="34"/>
      <c r="I172" s="4">
        <v>-2.92E-2</v>
      </c>
      <c r="J172" s="4">
        <f>(J171)*(I172+1)</f>
        <v>0.9708</v>
      </c>
      <c r="K172" s="41">
        <f>K171*(1+I172)</f>
        <v>97.08</v>
      </c>
      <c r="M172" s="4">
        <v>-1.12E-2</v>
      </c>
      <c r="N172" s="4">
        <f>(N171)*(M172+1)</f>
        <v>0.98880000000000001</v>
      </c>
      <c r="O172" s="41">
        <f>O171*(1+M172)</f>
        <v>98.88</v>
      </c>
      <c r="Q172" s="4">
        <v>-2.1335627486826603E-2</v>
      </c>
      <c r="R172" s="4">
        <f>(R171)*(Q172+1)</f>
        <v>0.9786643725131734</v>
      </c>
      <c r="S172" s="41">
        <f>S171*(1+Q172)</f>
        <v>97.866437251317336</v>
      </c>
    </row>
    <row r="173" spans="1:19" ht="13.5" x14ac:dyDescent="0.25">
      <c r="A173" s="2">
        <v>42063</v>
      </c>
      <c r="B173" s="49">
        <v>149841.35</v>
      </c>
      <c r="C173" s="6">
        <v>1</v>
      </c>
      <c r="D173" s="37"/>
      <c r="E173" s="4">
        <v>6.4199999999999993E-2</v>
      </c>
      <c r="F173" s="4">
        <f>(E172+1)*(E173+1)-1</f>
        <v>3.3125360000000104E-2</v>
      </c>
      <c r="G173" s="40">
        <f>G172*(1+E173)</f>
        <v>103.31253600000001</v>
      </c>
      <c r="H173" s="35"/>
      <c r="I173" s="4">
        <v>6.4199999999999993E-2</v>
      </c>
      <c r="J173" s="4">
        <f>(I172+1)*(I173+1)-1</f>
        <v>3.3125360000000104E-2</v>
      </c>
      <c r="K173" s="40">
        <f>K172*(1+I173)</f>
        <v>103.31253600000001</v>
      </c>
      <c r="M173" s="4">
        <v>5.1200000000000002E-2</v>
      </c>
      <c r="N173" s="4">
        <f>(M172+1)*(M173+1)-1</f>
        <v>3.9426559999999888E-2</v>
      </c>
      <c r="O173" s="40">
        <f>O172*(1+M173)</f>
        <v>103.94265599999999</v>
      </c>
      <c r="Q173" s="4">
        <v>3.0151858119245034E-2</v>
      </c>
      <c r="R173" s="4">
        <f>(Q172+1)*(Q173+1)-1</f>
        <v>8.1729218195505382E-3</v>
      </c>
      <c r="S173" s="40">
        <f>S172*(1+Q173)</f>
        <v>100.81729218195505</v>
      </c>
    </row>
    <row r="174" spans="1:19" ht="13.5" x14ac:dyDescent="0.25">
      <c r="A174" s="2">
        <v>42094</v>
      </c>
      <c r="B174" s="49">
        <v>150530.41</v>
      </c>
      <c r="C174" s="6">
        <v>1</v>
      </c>
      <c r="D174" s="36">
        <f>(1+E172)*(1+E173)*(1+E174)-1</f>
        <v>3.7877736656000138E-2</v>
      </c>
      <c r="E174" s="4">
        <v>4.5999999999999999E-3</v>
      </c>
      <c r="F174" s="4">
        <f t="shared" ref="F174:F180" si="88">(F173+1)*(E174+1)-1</f>
        <v>3.7877736656000138E-2</v>
      </c>
      <c r="G174" s="40">
        <f t="shared" ref="G174:G237" si="89">G173*(1+E174)</f>
        <v>103.7877736656</v>
      </c>
      <c r="H174" s="36">
        <f>(1+I172)*(1+I173)*(1+I174)-1</f>
        <v>3.7877736656000138E-2</v>
      </c>
      <c r="I174" s="4">
        <v>4.5999999999999999E-3</v>
      </c>
      <c r="J174" s="4">
        <f t="shared" ref="J174:J205" si="90">(J173+1)*(I174+1)-1</f>
        <v>3.7877736656000138E-2</v>
      </c>
      <c r="K174" s="40">
        <f t="shared" ref="K174:K237" si="91">K173*(1+I174)</f>
        <v>103.7877736656</v>
      </c>
      <c r="L174" s="36">
        <f>(1+M172)*(1+M173)*(1+M174)-1</f>
        <v>5.3146990591999899E-2</v>
      </c>
      <c r="M174" s="4">
        <v>1.32E-2</v>
      </c>
      <c r="N174" s="4">
        <f t="shared" ref="N174:N180" si="92">(N173+1)*(M174+1)-1</f>
        <v>5.3146990591999899E-2</v>
      </c>
      <c r="O174" s="40">
        <f t="shared" ref="O174:O237" si="93">O173*(1+M174)</f>
        <v>105.3146990592</v>
      </c>
      <c r="P174" s="36">
        <f>(1+Q172)*(1+Q173)*(1+Q174)-1</f>
        <v>6.1511990536617933E-3</v>
      </c>
      <c r="Q174" s="4">
        <v>-2.0053333333333034E-3</v>
      </c>
      <c r="R174" s="4">
        <f t="shared" ref="R174:R219" si="94">(R173+1)*(Q174+1)-1</f>
        <v>6.1511990536617933E-3</v>
      </c>
      <c r="S174" s="41">
        <f t="shared" ref="S174:S237" si="95">S173*(1+Q174)</f>
        <v>100.61511990536617</v>
      </c>
    </row>
    <row r="175" spans="1:19" ht="13.5" x14ac:dyDescent="0.25">
      <c r="A175" s="2">
        <v>42124</v>
      </c>
      <c r="B175" s="49">
        <v>151493.6</v>
      </c>
      <c r="C175" s="6">
        <v>1</v>
      </c>
      <c r="D175" s="37"/>
      <c r="E175" s="4">
        <v>6.4000000000000003E-3</v>
      </c>
      <c r="F175" s="4">
        <f t="shared" si="88"/>
        <v>4.4520154170598403E-2</v>
      </c>
      <c r="G175" s="40">
        <f t="shared" si="89"/>
        <v>104.45201541705984</v>
      </c>
      <c r="H175" s="35"/>
      <c r="I175" s="4">
        <v>6.4000000000000003E-3</v>
      </c>
      <c r="J175" s="4">
        <f t="shared" si="90"/>
        <v>4.4520154170598403E-2</v>
      </c>
      <c r="K175" s="40">
        <f t="shared" si="91"/>
        <v>104.45201541705984</v>
      </c>
      <c r="M175" s="4">
        <v>-1.49E-2</v>
      </c>
      <c r="N175" s="4">
        <f t="shared" si="92"/>
        <v>3.7455100432179034E-2</v>
      </c>
      <c r="O175" s="40">
        <f t="shared" si="93"/>
        <v>103.74551004321792</v>
      </c>
      <c r="Q175" s="4">
        <v>-6.861760116286475E-3</v>
      </c>
      <c r="R175" s="4">
        <f t="shared" si="94"/>
        <v>-7.5276911495847365E-4</v>
      </c>
      <c r="S175" s="41">
        <f t="shared" si="95"/>
        <v>99.924723088504152</v>
      </c>
    </row>
    <row r="176" spans="1:19" ht="13.5" x14ac:dyDescent="0.25">
      <c r="A176" s="2">
        <v>42155</v>
      </c>
      <c r="B176" s="49">
        <v>151635.76</v>
      </c>
      <c r="C176" s="6">
        <v>1</v>
      </c>
      <c r="D176" s="37"/>
      <c r="E176" s="4">
        <v>8.9999999999999998E-4</v>
      </c>
      <c r="F176" s="4">
        <f t="shared" si="88"/>
        <v>4.5460222309351872E-2</v>
      </c>
      <c r="G176" s="40">
        <f t="shared" si="89"/>
        <v>104.54602223093518</v>
      </c>
      <c r="H176" s="35"/>
      <c r="I176" s="4">
        <v>8.9999999999999998E-4</v>
      </c>
      <c r="J176" s="4">
        <f t="shared" si="90"/>
        <v>4.5460222309351872E-2</v>
      </c>
      <c r="K176" s="40">
        <f t="shared" si="91"/>
        <v>104.54602223093518</v>
      </c>
      <c r="M176" s="4">
        <v>1.78E-2</v>
      </c>
      <c r="N176" s="4">
        <f t="shared" si="92"/>
        <v>5.5921801219871892E-2</v>
      </c>
      <c r="O176" s="40">
        <f t="shared" si="93"/>
        <v>105.5921801219872</v>
      </c>
      <c r="Q176" s="4">
        <v>1.648730090400341E-2</v>
      </c>
      <c r="R176" s="4">
        <f t="shared" si="94"/>
        <v>1.5722120658135275E-2</v>
      </c>
      <c r="S176" s="41">
        <f t="shared" si="95"/>
        <v>101.57221206581353</v>
      </c>
    </row>
    <row r="177" spans="1:19" ht="13.5" x14ac:dyDescent="0.25">
      <c r="A177" s="2">
        <v>42185</v>
      </c>
      <c r="B177" s="49">
        <v>150031.87</v>
      </c>
      <c r="C177" s="6">
        <v>1</v>
      </c>
      <c r="D177" s="36">
        <f>(1+E175)*(1+E176)*(1+E177)-1</f>
        <v>-3.3716810560001642E-3</v>
      </c>
      <c r="E177" s="4">
        <v>-1.06E-2</v>
      </c>
      <c r="F177" s="4">
        <f t="shared" si="88"/>
        <v>3.4378343952872648E-2</v>
      </c>
      <c r="G177" s="40">
        <f t="shared" si="89"/>
        <v>103.43783439528725</v>
      </c>
      <c r="H177" s="36">
        <f>(1+I175)*(1+I176)*(1+I177)-1</f>
        <v>-3.3716810560001642E-3</v>
      </c>
      <c r="I177" s="4">
        <v>-1.06E-2</v>
      </c>
      <c r="J177" s="4">
        <f t="shared" si="90"/>
        <v>3.4378343952872648E-2</v>
      </c>
      <c r="K177" s="40">
        <f t="shared" si="91"/>
        <v>103.43783439528725</v>
      </c>
      <c r="L177" s="36">
        <f>(1+M175)*(1+M176)*(1+M177)-1</f>
        <v>-1.0599999096000068E-2</v>
      </c>
      <c r="M177" s="4">
        <v>-1.32E-2</v>
      </c>
      <c r="N177" s="4">
        <f t="shared" si="92"/>
        <v>4.1983633443769541E-2</v>
      </c>
      <c r="O177" s="40">
        <f t="shared" si="93"/>
        <v>104.19836334437697</v>
      </c>
      <c r="P177" s="36">
        <f>(1+Q175)*(1+Q176)*(1+Q177)-1</f>
        <v>-3.6339539556662359E-4</v>
      </c>
      <c r="Q177" s="4">
        <v>-9.7827467920214017E-3</v>
      </c>
      <c r="R177" s="4">
        <f t="shared" si="94"/>
        <v>5.7855683406817793E-3</v>
      </c>
      <c r="S177" s="41">
        <f t="shared" si="95"/>
        <v>100.57855683406818</v>
      </c>
    </row>
    <row r="178" spans="1:19" ht="13.5" x14ac:dyDescent="0.25">
      <c r="A178" s="2">
        <v>42216</v>
      </c>
      <c r="B178" s="49">
        <v>148882.10999999999</v>
      </c>
      <c r="C178" s="6">
        <v>1</v>
      </c>
      <c r="D178" s="37"/>
      <c r="E178" s="4">
        <v>-7.7000000000000002E-3</v>
      </c>
      <c r="F178" s="4">
        <f t="shared" si="88"/>
        <v>2.6413630704435587E-2</v>
      </c>
      <c r="G178" s="40">
        <f t="shared" si="89"/>
        <v>102.64136307044353</v>
      </c>
      <c r="H178" s="37"/>
      <c r="I178" s="4">
        <v>-7.7000000000000002E-3</v>
      </c>
      <c r="J178" s="4">
        <f t="shared" si="90"/>
        <v>2.6413630704435587E-2</v>
      </c>
      <c r="K178" s="40">
        <f t="shared" si="91"/>
        <v>102.64136307044353</v>
      </c>
      <c r="L178" s="37"/>
      <c r="M178" s="4">
        <v>1.4E-3</v>
      </c>
      <c r="N178" s="4">
        <f t="shared" si="92"/>
        <v>4.3442410530590836E-2</v>
      </c>
      <c r="O178" s="40">
        <f t="shared" si="93"/>
        <v>104.34424105305911</v>
      </c>
      <c r="P178" s="37"/>
      <c r="Q178" s="4">
        <v>2.1212898811051373E-2</v>
      </c>
      <c r="R178" s="4">
        <f t="shared" si="94"/>
        <v>2.7121195827508382E-2</v>
      </c>
      <c r="S178" s="41">
        <f t="shared" si="95"/>
        <v>102.71211958275084</v>
      </c>
    </row>
    <row r="179" spans="1:19" ht="13.5" x14ac:dyDescent="0.25">
      <c r="A179" s="2">
        <v>42247</v>
      </c>
      <c r="B179" s="49">
        <v>142241.25</v>
      </c>
      <c r="C179" s="6">
        <v>1</v>
      </c>
      <c r="D179" s="37"/>
      <c r="E179" s="4">
        <v>-4.4600000000000001E-2</v>
      </c>
      <c r="F179" s="4">
        <f t="shared" si="88"/>
        <v>-1.9364417224982167E-2</v>
      </c>
      <c r="G179" s="40">
        <f t="shared" si="89"/>
        <v>98.063558277501755</v>
      </c>
      <c r="H179" s="37"/>
      <c r="I179" s="4">
        <v>-4.4600000000000001E-2</v>
      </c>
      <c r="J179" s="4">
        <f t="shared" si="90"/>
        <v>-1.9364417224982167E-2</v>
      </c>
      <c r="K179" s="40">
        <f t="shared" si="91"/>
        <v>98.063558277501755</v>
      </c>
      <c r="L179" s="37"/>
      <c r="M179" s="4">
        <v>-5.5800000000000002E-2</v>
      </c>
      <c r="N179" s="4">
        <f t="shared" si="92"/>
        <v>-1.4781675977016073E-2</v>
      </c>
      <c r="O179" s="40">
        <f t="shared" si="93"/>
        <v>98.521832402298415</v>
      </c>
      <c r="P179" s="37"/>
      <c r="Q179" s="4">
        <v>-4.9375994639416998E-2</v>
      </c>
      <c r="R179" s="4">
        <f t="shared" si="94"/>
        <v>-2.3593934831702246E-2</v>
      </c>
      <c r="S179" s="41">
        <f t="shared" si="95"/>
        <v>97.640606516829777</v>
      </c>
    </row>
    <row r="180" spans="1:19" ht="13.5" x14ac:dyDescent="0.25">
      <c r="A180" s="2">
        <v>42277</v>
      </c>
      <c r="B180" s="49">
        <v>138143.89000000001</v>
      </c>
      <c r="C180" s="6">
        <v>1</v>
      </c>
      <c r="D180" s="36">
        <f>(1+E178)*(1+E179)*(1+E180)-1</f>
        <v>-7.9260230496000061E-2</v>
      </c>
      <c r="E180" s="4">
        <v>-2.8799999999999999E-2</v>
      </c>
      <c r="F180" s="4">
        <f t="shared" si="88"/>
        <v>-4.7606722008902702E-2</v>
      </c>
      <c r="G180" s="40">
        <f t="shared" si="89"/>
        <v>95.239327799109702</v>
      </c>
      <c r="H180" s="36">
        <f>(1+I178)*(1+I179)*(1+I180)-1</f>
        <v>-7.9260230496000061E-2</v>
      </c>
      <c r="I180" s="4">
        <v>-2.8799999999999999E-2</v>
      </c>
      <c r="J180" s="4">
        <f t="shared" si="90"/>
        <v>-4.7606722008902702E-2</v>
      </c>
      <c r="K180" s="40">
        <f t="shared" si="91"/>
        <v>95.239327799109702</v>
      </c>
      <c r="L180" s="36">
        <f>(1+M178)*(1+M179)*(1+M180)-1</f>
        <v>-8.492392453599984E-2</v>
      </c>
      <c r="M180" s="4">
        <v>-3.2199999999999999E-2</v>
      </c>
      <c r="N180" s="4">
        <f t="shared" si="92"/>
        <v>-4.6505706010556147E-2</v>
      </c>
      <c r="O180" s="40">
        <f t="shared" si="93"/>
        <v>95.349429398944409</v>
      </c>
      <c r="P180" s="36">
        <f>(1+Q178)*(1+Q179)*(1+Q180)-1</f>
        <v>-4.9781883500128132E-2</v>
      </c>
      <c r="Q180" s="4">
        <v>-2.1190360808846176E-2</v>
      </c>
      <c r="R180" s="4">
        <f t="shared" si="94"/>
        <v>-4.4284331648564268E-2</v>
      </c>
      <c r="S180" s="41">
        <f t="shared" si="95"/>
        <v>95.571566835143571</v>
      </c>
    </row>
    <row r="181" spans="1:19" ht="13.5" x14ac:dyDescent="0.25">
      <c r="A181" s="2">
        <v>42308</v>
      </c>
      <c r="B181" s="49">
        <v>147819.42000000001</v>
      </c>
      <c r="C181" s="6">
        <v>1</v>
      </c>
      <c r="D181" s="37"/>
      <c r="E181" s="4">
        <v>7.0000000000000007E-2</v>
      </c>
      <c r="F181" s="4">
        <f t="shared" ref="F181:F186" si="96">(F180+1)*(E181+1)-1</f>
        <v>1.9060807450474115E-2</v>
      </c>
      <c r="G181" s="40">
        <f t="shared" si="89"/>
        <v>101.90608074504739</v>
      </c>
      <c r="H181" s="37"/>
      <c r="I181" s="4">
        <v>7.0000000000000007E-2</v>
      </c>
      <c r="J181" s="4">
        <f t="shared" si="90"/>
        <v>1.9060807450474115E-2</v>
      </c>
      <c r="K181" s="40">
        <f t="shared" si="91"/>
        <v>101.90608074504739</v>
      </c>
      <c r="L181" s="37"/>
      <c r="M181" s="4">
        <v>5.6300000000000003E-2</v>
      </c>
      <c r="N181" s="4">
        <f t="shared" ref="N181:N186" si="97">(N180+1)*(M181+1)-1</f>
        <v>7.1760227410495592E-3</v>
      </c>
      <c r="O181" s="40">
        <f t="shared" si="93"/>
        <v>100.71760227410498</v>
      </c>
      <c r="P181" s="37"/>
      <c r="Q181" s="4">
        <v>8.1758034026464976E-2</v>
      </c>
      <c r="R181" s="4">
        <f t="shared" si="94"/>
        <v>3.3853102484138198E-2</v>
      </c>
      <c r="S181" s="41">
        <f t="shared" si="95"/>
        <v>103.38531024841382</v>
      </c>
    </row>
    <row r="182" spans="1:19" ht="13.5" x14ac:dyDescent="0.25">
      <c r="A182" s="2">
        <v>42338</v>
      </c>
      <c r="B182" s="49">
        <v>149396.12</v>
      </c>
      <c r="C182" s="6">
        <v>1</v>
      </c>
      <c r="D182" s="37"/>
      <c r="E182" s="4">
        <v>1.0699999999999999E-2</v>
      </c>
      <c r="F182" s="4">
        <f t="shared" si="96"/>
        <v>2.9964758090194055E-2</v>
      </c>
      <c r="G182" s="40">
        <f t="shared" si="89"/>
        <v>102.99647580901939</v>
      </c>
      <c r="H182" s="37"/>
      <c r="I182" s="4">
        <v>1.0699999999999999E-2</v>
      </c>
      <c r="J182" s="4">
        <f t="shared" si="90"/>
        <v>2.9964758090194055E-2</v>
      </c>
      <c r="K182" s="40">
        <f t="shared" si="91"/>
        <v>102.99647580901939</v>
      </c>
      <c r="L182" s="37"/>
      <c r="M182" s="4">
        <v>1.35E-2</v>
      </c>
      <c r="N182" s="4">
        <f t="shared" si="97"/>
        <v>2.0772899048053795E-2</v>
      </c>
      <c r="O182" s="40">
        <f t="shared" si="93"/>
        <v>102.0772899048054</v>
      </c>
      <c r="P182" s="37"/>
      <c r="Q182" s="4">
        <v>1.8515051280449946E-3</v>
      </c>
      <c r="R182" s="4">
        <f t="shared" si="94"/>
        <v>3.5767286805032716E-2</v>
      </c>
      <c r="S182" s="41">
        <f t="shared" si="95"/>
        <v>103.57672868050328</v>
      </c>
    </row>
    <row r="183" spans="1:19" ht="13.5" x14ac:dyDescent="0.25">
      <c r="A183" s="2">
        <v>42369</v>
      </c>
      <c r="B183" s="49">
        <v>145191.51</v>
      </c>
      <c r="C183" s="6">
        <v>1</v>
      </c>
      <c r="D183" s="36">
        <f>(1+E181)*(1+E182)*(1+E183)-1</f>
        <v>5.106028309999977E-2</v>
      </c>
      <c r="E183" s="4">
        <v>-2.81E-2</v>
      </c>
      <c r="F183" s="4">
        <f t="shared" si="96"/>
        <v>1.02274838785954E-3</v>
      </c>
      <c r="G183" s="40">
        <f t="shared" si="89"/>
        <v>100.10227483878595</v>
      </c>
      <c r="H183" s="36">
        <f>(1+I181)*(1+I182)*(1+I183)-1</f>
        <v>5.106028309999977E-2</v>
      </c>
      <c r="I183" s="4">
        <v>-2.81E-2</v>
      </c>
      <c r="J183" s="4">
        <f t="shared" si="90"/>
        <v>1.02274838785954E-3</v>
      </c>
      <c r="K183" s="40">
        <f t="shared" si="91"/>
        <v>100.10227483878595</v>
      </c>
      <c r="L183" s="36">
        <f>(1+M181)*(1+M182)*(1+M183)-1</f>
        <v>2.5917695915000039E-2</v>
      </c>
      <c r="M183" s="4">
        <v>-4.1700000000000001E-2</v>
      </c>
      <c r="N183" s="4">
        <f t="shared" si="97"/>
        <v>-2.1793330842249992E-2</v>
      </c>
      <c r="O183" s="40">
        <f t="shared" si="93"/>
        <v>97.820666915775021</v>
      </c>
      <c r="P183" s="36">
        <f>(1+Q181)*(1+Q182)*(1+Q183)-1</f>
        <v>4.8451705824106295E-2</v>
      </c>
      <c r="Q183" s="4">
        <v>-3.258025665517672E-2</v>
      </c>
      <c r="R183" s="4">
        <f t="shared" si="94"/>
        <v>2.0217227658887449E-3</v>
      </c>
      <c r="S183" s="41">
        <f t="shared" si="95"/>
        <v>100.20217227658888</v>
      </c>
    </row>
    <row r="184" spans="1:19" ht="13.5" x14ac:dyDescent="0.25">
      <c r="A184" s="2">
        <v>42400</v>
      </c>
      <c r="B184" s="49">
        <v>141961.26</v>
      </c>
      <c r="C184" s="6">
        <v>1</v>
      </c>
      <c r="D184" s="37"/>
      <c r="E184" s="4">
        <v>-2.2200000000000001E-2</v>
      </c>
      <c r="F184" s="4">
        <f t="shared" si="96"/>
        <v>-2.1199956626350991E-2</v>
      </c>
      <c r="G184" s="40">
        <f t="shared" si="89"/>
        <v>97.880004337364895</v>
      </c>
      <c r="H184" s="37"/>
      <c r="I184" s="4">
        <v>-2.2200000000000001E-2</v>
      </c>
      <c r="J184" s="4">
        <f t="shared" si="90"/>
        <v>-2.1199956626350991E-2</v>
      </c>
      <c r="K184" s="40">
        <f t="shared" si="91"/>
        <v>97.880004337364895</v>
      </c>
      <c r="L184" s="37"/>
      <c r="M184" s="4">
        <v>-5.6899999999999999E-2</v>
      </c>
      <c r="N184" s="4">
        <f t="shared" si="97"/>
        <v>-7.7453290317325951E-2</v>
      </c>
      <c r="O184" s="40">
        <f t="shared" si="93"/>
        <v>92.254670968267433</v>
      </c>
      <c r="P184" s="37"/>
      <c r="Q184" s="4">
        <v>-2.8826547039000672E-2</v>
      </c>
      <c r="R184" s="4">
        <f t="shared" si="94"/>
        <v>-2.6863103559522594E-2</v>
      </c>
      <c r="S184" s="41">
        <f t="shared" si="95"/>
        <v>97.313689644047741</v>
      </c>
    </row>
    <row r="185" spans="1:19" ht="13.5" x14ac:dyDescent="0.25">
      <c r="A185" s="2">
        <v>42429</v>
      </c>
      <c r="B185" s="49">
        <v>149389.63</v>
      </c>
      <c r="C185" s="6">
        <v>1</v>
      </c>
      <c r="D185" s="37"/>
      <c r="E185" s="4">
        <v>1.3100000000000001E-2</v>
      </c>
      <c r="F185" s="4">
        <f t="shared" si="96"/>
        <v>-8.3776760581560916E-3</v>
      </c>
      <c r="G185" s="40">
        <f t="shared" si="89"/>
        <v>99.162232394184386</v>
      </c>
      <c r="H185" s="37"/>
      <c r="I185" s="4">
        <v>1.3100000000000001E-2</v>
      </c>
      <c r="J185" s="4">
        <f t="shared" si="90"/>
        <v>-8.3776760581560916E-3</v>
      </c>
      <c r="K185" s="40">
        <f t="shared" si="91"/>
        <v>99.162232394184386</v>
      </c>
      <c r="L185" s="37"/>
      <c r="M185" s="4">
        <v>1.41E-2</v>
      </c>
      <c r="N185" s="4">
        <f t="shared" si="97"/>
        <v>-6.4445381710800276E-2</v>
      </c>
      <c r="O185" s="40">
        <f t="shared" si="93"/>
        <v>93.555461828920002</v>
      </c>
      <c r="P185" s="37"/>
      <c r="Q185" s="4">
        <v>4.2147372143393813E-2</v>
      </c>
      <c r="R185" s="4">
        <f t="shared" si="94"/>
        <v>1.4152059361221436E-2</v>
      </c>
      <c r="S185" s="41">
        <f t="shared" si="95"/>
        <v>101.41520593612215</v>
      </c>
    </row>
    <row r="186" spans="1:19" ht="13.5" x14ac:dyDescent="0.25">
      <c r="A186" s="2">
        <v>42460</v>
      </c>
      <c r="B186" s="49">
        <v>268187.3</v>
      </c>
      <c r="C186" s="6">
        <v>2</v>
      </c>
      <c r="D186" s="36">
        <f>(1+E184)*(1+E185)*(1+E186)-1</f>
        <v>4.7668268768000122E-2</v>
      </c>
      <c r="E186" s="4">
        <v>5.7599999999999998E-2</v>
      </c>
      <c r="F186" s="4">
        <f t="shared" si="96"/>
        <v>4.8739769800894228E-2</v>
      </c>
      <c r="G186" s="40">
        <f t="shared" si="89"/>
        <v>104.87397698008941</v>
      </c>
      <c r="H186" s="36">
        <f>(1+I184)*(1+I185)*(1+I186)-1</f>
        <v>4.8757938865999995E-2</v>
      </c>
      <c r="I186" s="4">
        <v>5.8700000000000002E-2</v>
      </c>
      <c r="J186" s="4">
        <f t="shared" si="90"/>
        <v>4.9830554357230161E-2</v>
      </c>
      <c r="K186" s="40">
        <f t="shared" si="91"/>
        <v>104.983055435723</v>
      </c>
      <c r="L186" s="36">
        <f>(1+M184)*(1+M185)*(1+M186)-1</f>
        <v>3.7882794891999971E-2</v>
      </c>
      <c r="M186" s="4">
        <v>8.5199999999999998E-2</v>
      </c>
      <c r="N186" s="4">
        <f t="shared" si="97"/>
        <v>1.5263871767439596E-2</v>
      </c>
      <c r="O186" s="40">
        <f t="shared" si="93"/>
        <v>101.52638717674398</v>
      </c>
      <c r="P186" s="36">
        <f>(1+Q184)*(1+Q185)*(1+Q186)-1</f>
        <v>0.10951082873639684</v>
      </c>
      <c r="Q186" s="4">
        <v>9.6239899900324444E-2</v>
      </c>
      <c r="R186" s="4">
        <f t="shared" si="94"/>
        <v>0.11175395203785321</v>
      </c>
      <c r="S186" s="41">
        <f t="shared" si="95"/>
        <v>111.17539520378533</v>
      </c>
    </row>
    <row r="187" spans="1:19" ht="13.5" x14ac:dyDescent="0.25">
      <c r="A187" s="2">
        <v>42490</v>
      </c>
      <c r="B187" s="49">
        <v>273847.57</v>
      </c>
      <c r="C187" s="6">
        <v>2</v>
      </c>
      <c r="D187" s="37"/>
      <c r="E187" s="4">
        <v>2.1100000000000001E-2</v>
      </c>
      <c r="F187" s="4">
        <f t="shared" ref="F187:F195" si="98">(F186+1)*(E187+1)-1</f>
        <v>7.0868178943692905E-2</v>
      </c>
      <c r="G187" s="40">
        <f t="shared" si="89"/>
        <v>107.08681789436929</v>
      </c>
      <c r="H187" s="37"/>
      <c r="I187" s="4">
        <v>2.1100000000000001E-2</v>
      </c>
      <c r="J187" s="4">
        <f t="shared" si="90"/>
        <v>7.1981979054167589E-2</v>
      </c>
      <c r="K187" s="40">
        <f t="shared" si="91"/>
        <v>107.19819790541675</v>
      </c>
      <c r="L187" s="37"/>
      <c r="M187" s="4">
        <v>1.2200000000000001E-2</v>
      </c>
      <c r="N187" s="4">
        <f t="shared" ref="N187:N195" si="99">(N186+1)*(M187+1)-1</f>
        <v>2.7650091003002419E-2</v>
      </c>
      <c r="O187" s="40">
        <f t="shared" si="93"/>
        <v>102.76500910030026</v>
      </c>
      <c r="P187" s="37"/>
      <c r="Q187" s="4">
        <v>1.1239867675224113E-2</v>
      </c>
      <c r="R187" s="4">
        <f t="shared" si="94"/>
        <v>0.12424991934616614</v>
      </c>
      <c r="S187" s="41">
        <f t="shared" si="95"/>
        <v>112.42499193461661</v>
      </c>
    </row>
    <row r="188" spans="1:19" ht="13.5" x14ac:dyDescent="0.25">
      <c r="A188" s="2">
        <v>42521</v>
      </c>
      <c r="B188" s="49">
        <v>277571.63</v>
      </c>
      <c r="C188" s="6">
        <v>2</v>
      </c>
      <c r="D188" s="37"/>
      <c r="E188" s="4">
        <v>1.3599999999999999E-2</v>
      </c>
      <c r="F188" s="4">
        <f t="shared" si="98"/>
        <v>8.5431986177327168E-2</v>
      </c>
      <c r="G188" s="40">
        <f t="shared" si="89"/>
        <v>108.54319861773271</v>
      </c>
      <c r="H188" s="37"/>
      <c r="I188" s="4">
        <v>1.3599999999999999E-2</v>
      </c>
      <c r="J188" s="4">
        <f t="shared" si="90"/>
        <v>8.656093396930431E-2</v>
      </c>
      <c r="K188" s="40">
        <f t="shared" si="91"/>
        <v>108.65609339693042</v>
      </c>
      <c r="L188" s="37"/>
      <c r="M188" s="4">
        <v>2.3099999999999999E-2</v>
      </c>
      <c r="N188" s="4">
        <f t="shared" si="99"/>
        <v>5.1388808105171657E-2</v>
      </c>
      <c r="O188" s="40">
        <f t="shared" si="93"/>
        <v>105.13888081051719</v>
      </c>
      <c r="P188" s="37"/>
      <c r="Q188" s="4">
        <v>3.1144781144781142E-2</v>
      </c>
      <c r="R188" s="4">
        <f t="shared" si="94"/>
        <v>0.15926443703624038</v>
      </c>
      <c r="S188" s="41">
        <f t="shared" si="95"/>
        <v>115.92644370362403</v>
      </c>
    </row>
    <row r="189" spans="1:19" ht="13.5" x14ac:dyDescent="0.25">
      <c r="A189" s="2">
        <v>42551</v>
      </c>
      <c r="B189" s="49">
        <v>282610.57</v>
      </c>
      <c r="C189" s="6">
        <v>2</v>
      </c>
      <c r="D189" s="36">
        <f>(1+E187)*(1+E188)*(1+E189)-1</f>
        <v>5.3823722671999974E-2</v>
      </c>
      <c r="E189" s="4">
        <v>1.8200000000000001E-2</v>
      </c>
      <c r="F189" s="4">
        <f t="shared" si="98"/>
        <v>0.10518684832575453</v>
      </c>
      <c r="G189" s="40">
        <f t="shared" si="89"/>
        <v>110.51868483257545</v>
      </c>
      <c r="H189" s="36">
        <f>(1+I187)*(1+I188)*(1+I189)-1</f>
        <v>5.4858709631999902E-2</v>
      </c>
      <c r="I189" s="4">
        <v>1.9199999999999998E-2</v>
      </c>
      <c r="J189" s="4">
        <f t="shared" si="90"/>
        <v>0.1074229039015151</v>
      </c>
      <c r="K189" s="40">
        <f t="shared" si="91"/>
        <v>110.7422903901515</v>
      </c>
      <c r="L189" s="36">
        <f>(1+M187)*(1+M188)*(1+M189)-1</f>
        <v>3.9931263643999904E-2</v>
      </c>
      <c r="M189" s="4">
        <v>4.1999999999999997E-3</v>
      </c>
      <c r="N189" s="4">
        <f t="shared" si="99"/>
        <v>5.5804641099213459E-2</v>
      </c>
      <c r="O189" s="40">
        <f t="shared" si="93"/>
        <v>105.58046410992137</v>
      </c>
      <c r="P189" s="36">
        <f>(1+Q187)*(1+Q188)*(1+Q189)-1</f>
        <v>7.088274554564622E-2</v>
      </c>
      <c r="Q189" s="4">
        <v>2.699443413729119E-2</v>
      </c>
      <c r="R189" s="4">
        <f t="shared" si="94"/>
        <v>0.19055812452951915</v>
      </c>
      <c r="S189" s="41">
        <f t="shared" si="95"/>
        <v>119.0558124529519</v>
      </c>
    </row>
    <row r="190" spans="1:19" ht="13.5" x14ac:dyDescent="0.25">
      <c r="A190" s="2">
        <v>42582</v>
      </c>
      <c r="B190" s="49">
        <v>293474.77</v>
      </c>
      <c r="C190" s="6">
        <v>2</v>
      </c>
      <c r="D190" s="37"/>
      <c r="E190" s="4">
        <v>3.8399999999999997E-2</v>
      </c>
      <c r="F190" s="4">
        <f t="shared" si="98"/>
        <v>0.14762602330146346</v>
      </c>
      <c r="G190" s="40">
        <f t="shared" si="89"/>
        <v>114.76260233014634</v>
      </c>
      <c r="H190" s="37"/>
      <c r="I190" s="4">
        <v>3.8399999999999997E-2</v>
      </c>
      <c r="J190" s="4">
        <f t="shared" si="90"/>
        <v>0.14994794341133333</v>
      </c>
      <c r="K190" s="40">
        <f t="shared" si="91"/>
        <v>114.99479434113331</v>
      </c>
      <c r="L190" s="37"/>
      <c r="M190" s="4">
        <v>4.2900000000000001E-2</v>
      </c>
      <c r="N190" s="4">
        <f t="shared" si="99"/>
        <v>0.10109866020236957</v>
      </c>
      <c r="O190" s="40">
        <f t="shared" si="93"/>
        <v>110.10986602023698</v>
      </c>
      <c r="P190" s="37"/>
      <c r="Q190" s="4">
        <v>1.9781410893324969E-2</v>
      </c>
      <c r="R190" s="4">
        <f t="shared" si="94"/>
        <v>0.21410904398322383</v>
      </c>
      <c r="S190" s="41">
        <f t="shared" si="95"/>
        <v>121.41090439832237</v>
      </c>
    </row>
    <row r="191" spans="1:19" ht="13.5" x14ac:dyDescent="0.25">
      <c r="A191" s="2">
        <v>42613</v>
      </c>
      <c r="B191" s="49">
        <v>402388.31</v>
      </c>
      <c r="C191" s="6">
        <v>3</v>
      </c>
      <c r="D191" s="37"/>
      <c r="E191" s="4">
        <v>1.7999999999999999E-2</v>
      </c>
      <c r="F191" s="4">
        <f t="shared" si="98"/>
        <v>0.16828329172088985</v>
      </c>
      <c r="G191" s="40">
        <f t="shared" si="89"/>
        <v>116.82832917208897</v>
      </c>
      <c r="H191" s="37"/>
      <c r="I191" s="4">
        <v>1.8700000000000001E-2</v>
      </c>
      <c r="J191" s="4">
        <f t="shared" si="90"/>
        <v>0.17145196995312517</v>
      </c>
      <c r="K191" s="40">
        <f t="shared" si="91"/>
        <v>117.1451969953125</v>
      </c>
      <c r="L191" s="37"/>
      <c r="M191" s="4">
        <v>5.0000000000000001E-3</v>
      </c>
      <c r="N191" s="4">
        <f t="shared" si="99"/>
        <v>0.10660415350338126</v>
      </c>
      <c r="O191" s="40">
        <f t="shared" si="93"/>
        <v>110.66041535033816</v>
      </c>
      <c r="P191" s="37"/>
      <c r="Q191" s="4">
        <v>3.3126660761735316E-3</v>
      </c>
      <c r="R191" s="4">
        <f t="shared" si="94"/>
        <v>0.21813098182600243</v>
      </c>
      <c r="S191" s="41">
        <f t="shared" si="95"/>
        <v>121.81309818260024</v>
      </c>
    </row>
    <row r="192" spans="1:19" ht="13.5" x14ac:dyDescent="0.25">
      <c r="A192" s="2">
        <v>42643</v>
      </c>
      <c r="B192" s="49">
        <v>401037.97</v>
      </c>
      <c r="C192" s="6">
        <v>3</v>
      </c>
      <c r="D192" s="36">
        <f>(1+E190)*(1+E191)*(1+E192)-1</f>
        <v>5.3497089920000018E-2</v>
      </c>
      <c r="E192" s="4">
        <v>-3.3999999999999998E-3</v>
      </c>
      <c r="F192" s="4">
        <f t="shared" si="98"/>
        <v>0.16431112852903884</v>
      </c>
      <c r="G192" s="40">
        <f t="shared" si="89"/>
        <v>116.43111285290388</v>
      </c>
      <c r="H192" s="36">
        <f>(1+I190)*(1+I191)*(1+I192)-1</f>
        <v>5.5067752991999841E-2</v>
      </c>
      <c r="I192" s="4">
        <v>-2.5999999999999999E-3</v>
      </c>
      <c r="J192" s="4">
        <f t="shared" si="90"/>
        <v>0.16840619483124697</v>
      </c>
      <c r="K192" s="40">
        <f t="shared" si="91"/>
        <v>116.84061948312468</v>
      </c>
      <c r="L192" s="36">
        <f>(1+M190)*(1+M191)*(1+M192)-1</f>
        <v>4.1406567199999911E-2</v>
      </c>
      <c r="M192" s="4">
        <v>-6.4000000000000003E-3</v>
      </c>
      <c r="N192" s="4">
        <f t="shared" si="99"/>
        <v>9.9521886920959757E-2</v>
      </c>
      <c r="O192" s="40">
        <f t="shared" si="93"/>
        <v>109.952188692096</v>
      </c>
      <c r="P192" s="36">
        <f>(1+Q190)*(1+Q191)*(1+Q192)-1</f>
        <v>9.0145424984193756E-3</v>
      </c>
      <c r="Q192" s="4">
        <v>-1.3824884792626779E-2</v>
      </c>
      <c r="R192" s="4">
        <f t="shared" si="94"/>
        <v>0.20129046133992867</v>
      </c>
      <c r="S192" s="41">
        <f t="shared" si="95"/>
        <v>120.12904613399286</v>
      </c>
    </row>
    <row r="193" spans="1:19" ht="13.5" x14ac:dyDescent="0.25">
      <c r="A193" s="2">
        <v>42674</v>
      </c>
      <c r="B193" s="49">
        <v>533852.1</v>
      </c>
      <c r="C193" s="6">
        <v>4</v>
      </c>
      <c r="D193" s="37"/>
      <c r="E193" s="4">
        <v>-1.4500000000000001E-2</v>
      </c>
      <c r="F193" s="4">
        <f t="shared" si="98"/>
        <v>0.14742861716536781</v>
      </c>
      <c r="G193" s="40">
        <f t="shared" si="89"/>
        <v>114.74286171653678</v>
      </c>
      <c r="H193" s="37"/>
      <c r="I193" s="4">
        <v>-1.4500000000000001E-2</v>
      </c>
      <c r="J193" s="4">
        <f t="shared" si="90"/>
        <v>0.1514643050061939</v>
      </c>
      <c r="K193" s="40">
        <f t="shared" si="91"/>
        <v>115.14643050061937</v>
      </c>
      <c r="L193" s="37"/>
      <c r="M193" s="4">
        <v>-2.6800000000000001E-2</v>
      </c>
      <c r="N193" s="4">
        <f t="shared" si="99"/>
        <v>7.0054700351477983E-2</v>
      </c>
      <c r="O193" s="40">
        <f t="shared" si="93"/>
        <v>107.00547003514782</v>
      </c>
      <c r="P193" s="37"/>
      <c r="Q193" s="4">
        <v>-2.3847889139542278E-2</v>
      </c>
      <c r="R193" s="4">
        <f t="shared" si="94"/>
        <v>0.17264221959350445</v>
      </c>
      <c r="S193" s="41">
        <f t="shared" si="95"/>
        <v>117.26422195935044</v>
      </c>
    </row>
    <row r="194" spans="1:19" ht="13.5" x14ac:dyDescent="0.25">
      <c r="A194" s="2">
        <v>42704</v>
      </c>
      <c r="B194" s="49">
        <v>570883.30000000005</v>
      </c>
      <c r="C194" s="6">
        <v>4</v>
      </c>
      <c r="D194" s="37"/>
      <c r="E194" s="4">
        <v>6.9400000000000003E-2</v>
      </c>
      <c r="F194" s="4">
        <f t="shared" si="98"/>
        <v>0.22706016319664424</v>
      </c>
      <c r="G194" s="40">
        <f t="shared" si="89"/>
        <v>122.70601631966443</v>
      </c>
      <c r="H194" s="37"/>
      <c r="I194" s="4">
        <v>6.9900000000000004E-2</v>
      </c>
      <c r="J194" s="4">
        <f t="shared" si="90"/>
        <v>0.23195165992612687</v>
      </c>
      <c r="K194" s="40">
        <f t="shared" si="91"/>
        <v>123.19516599261267</v>
      </c>
      <c r="L194" s="37"/>
      <c r="M194" s="4">
        <v>8.0100000000000005E-2</v>
      </c>
      <c r="N194" s="4">
        <f t="shared" si="99"/>
        <v>0.15576608184963137</v>
      </c>
      <c r="O194" s="40">
        <f t="shared" si="93"/>
        <v>115.57660818496316</v>
      </c>
      <c r="P194" s="37"/>
      <c r="Q194" s="4">
        <v>7.5400755658266316E-2</v>
      </c>
      <c r="R194" s="4">
        <f t="shared" si="94"/>
        <v>0.26106032906764143</v>
      </c>
      <c r="S194" s="41">
        <f t="shared" si="95"/>
        <v>126.10603290676413</v>
      </c>
    </row>
    <row r="195" spans="1:19" ht="13.5" x14ac:dyDescent="0.25">
      <c r="A195" s="2">
        <v>42735</v>
      </c>
      <c r="B195" s="49">
        <v>587583.24</v>
      </c>
      <c r="C195" s="6">
        <v>4</v>
      </c>
      <c r="D195" s="36">
        <f>(1+E193)*(1+E194)*(1+E195)-1</f>
        <v>6.2641017709999858E-2</v>
      </c>
      <c r="E195" s="4">
        <v>8.3000000000000001E-3</v>
      </c>
      <c r="F195" s="4">
        <f t="shared" si="98"/>
        <v>0.23724476255117644</v>
      </c>
      <c r="G195" s="40">
        <f t="shared" si="89"/>
        <v>123.72447625511764</v>
      </c>
      <c r="H195" s="36">
        <f>(1+I193)*(1+I194)*(1+I195)-1</f>
        <v>6.4719437210000175E-2</v>
      </c>
      <c r="I195" s="4">
        <v>9.7999999999999997E-3</v>
      </c>
      <c r="J195" s="4">
        <f t="shared" si="90"/>
        <v>0.24402478619340306</v>
      </c>
      <c r="K195" s="40">
        <f t="shared" si="91"/>
        <v>124.40247861934029</v>
      </c>
      <c r="L195" s="36">
        <f>(1+M193)*(1+M194)*(1+M195)-1</f>
        <v>7.4173577708000149E-2</v>
      </c>
      <c r="M195" s="4">
        <v>2.1899999999999999E-2</v>
      </c>
      <c r="N195" s="4">
        <f t="shared" si="99"/>
        <v>0.1810773590421384</v>
      </c>
      <c r="O195" s="40">
        <f t="shared" si="93"/>
        <v>118.10773590421385</v>
      </c>
      <c r="P195" s="36">
        <f>(1+Q193)*(1+Q194)*(1+Q195)-1</f>
        <v>8.8534393239517062E-2</v>
      </c>
      <c r="Q195" s="4">
        <v>3.6941654017362158E-2</v>
      </c>
      <c r="R195" s="4">
        <f t="shared" si="94"/>
        <v>0.30764598343907901</v>
      </c>
      <c r="S195" s="41">
        <f t="shared" si="95"/>
        <v>130.76459834390789</v>
      </c>
    </row>
    <row r="196" spans="1:19" ht="13.5" x14ac:dyDescent="0.25">
      <c r="A196" s="2">
        <v>42766</v>
      </c>
      <c r="B196" s="49">
        <v>595310.65</v>
      </c>
      <c r="C196" s="6">
        <v>4</v>
      </c>
      <c r="D196" s="37"/>
      <c r="E196" s="4">
        <v>1.32E-2</v>
      </c>
      <c r="F196" s="4">
        <f t="shared" ref="F196:F201" si="100">(F195+1)*(E196+1)-1</f>
        <v>0.25357639341685201</v>
      </c>
      <c r="G196" s="40">
        <f t="shared" si="89"/>
        <v>125.3576393416852</v>
      </c>
      <c r="H196" s="37"/>
      <c r="I196" s="4">
        <v>1.32E-2</v>
      </c>
      <c r="J196" s="4">
        <f t="shared" si="90"/>
        <v>0.26044591337115608</v>
      </c>
      <c r="K196" s="40">
        <f t="shared" si="91"/>
        <v>126.04459133711559</v>
      </c>
      <c r="L196" s="37"/>
      <c r="M196" s="4">
        <v>1.6799999999999999E-2</v>
      </c>
      <c r="N196" s="4">
        <f t="shared" ref="N196:N201" si="101">(N195+1)*(M196+1)-1</f>
        <v>0.20091945867404615</v>
      </c>
      <c r="O196" s="40">
        <f t="shared" si="93"/>
        <v>120.09194586740463</v>
      </c>
      <c r="P196" s="37"/>
      <c r="Q196" s="4">
        <v>1.69246204707314E-2</v>
      </c>
      <c r="R196" s="4">
        <f t="shared" si="94"/>
        <v>0.32977739541886164</v>
      </c>
      <c r="S196" s="41">
        <f t="shared" si="95"/>
        <v>132.97773954188617</v>
      </c>
    </row>
    <row r="197" spans="1:19" ht="13.5" x14ac:dyDescent="0.25">
      <c r="A197" s="2">
        <v>42794</v>
      </c>
      <c r="B197" s="49">
        <v>609244.04</v>
      </c>
      <c r="C197" s="6">
        <v>4</v>
      </c>
      <c r="D197" s="37"/>
      <c r="E197" s="4">
        <v>2.3400000000000001E-2</v>
      </c>
      <c r="F197" s="4">
        <f t="shared" si="100"/>
        <v>0.28291008102280646</v>
      </c>
      <c r="G197" s="40">
        <f t="shared" si="89"/>
        <v>128.29100810228064</v>
      </c>
      <c r="H197" s="37"/>
      <c r="I197" s="4">
        <v>2.3900000000000001E-2</v>
      </c>
      <c r="J197" s="4">
        <f t="shared" si="90"/>
        <v>0.29057057070072667</v>
      </c>
      <c r="K197" s="40">
        <f t="shared" si="91"/>
        <v>129.05705707007266</v>
      </c>
      <c r="L197" s="37"/>
      <c r="M197" s="4">
        <v>2.6200000000000001E-2</v>
      </c>
      <c r="N197" s="4">
        <f t="shared" si="101"/>
        <v>0.23238354849130616</v>
      </c>
      <c r="O197" s="40">
        <f t="shared" si="93"/>
        <v>123.23835484913063</v>
      </c>
      <c r="P197" s="37"/>
      <c r="Q197" s="4">
        <v>1.7160509801384505E-2</v>
      </c>
      <c r="R197" s="4">
        <f t="shared" si="94"/>
        <v>0.35259705344660652</v>
      </c>
      <c r="S197" s="41">
        <f t="shared" si="95"/>
        <v>135.25970534466066</v>
      </c>
    </row>
    <row r="198" spans="1:19" ht="13.5" x14ac:dyDescent="0.25">
      <c r="A198" s="2">
        <v>42825</v>
      </c>
      <c r="B198" s="49">
        <v>601807.18000000005</v>
      </c>
      <c r="C198" s="6">
        <v>4</v>
      </c>
      <c r="D198" s="36">
        <f>(1+E196)*(1+E197)*(1+E198)-1</f>
        <v>2.4258591664000129E-2</v>
      </c>
      <c r="E198" s="4">
        <v>-1.2200000000000001E-2</v>
      </c>
      <c r="F198" s="4">
        <f t="shared" si="100"/>
        <v>0.26725857803432818</v>
      </c>
      <c r="G198" s="40">
        <f t="shared" si="89"/>
        <v>126.72585780343282</v>
      </c>
      <c r="H198" s="36">
        <f>(1+I196)*(1+I197)*(1+I198)-1</f>
        <v>2.6211392816000156E-2</v>
      </c>
      <c r="I198" s="4">
        <v>-1.0800000000000001E-2</v>
      </c>
      <c r="J198" s="4">
        <f t="shared" si="90"/>
        <v>0.27663240853715876</v>
      </c>
      <c r="K198" s="40">
        <f t="shared" si="91"/>
        <v>127.66324085371588</v>
      </c>
      <c r="L198" s="36">
        <f>(1+M196)*(1+M197)*(1+M198)-1</f>
        <v>3.9370743375999773E-2</v>
      </c>
      <c r="M198" s="4">
        <v>-3.8999999999999998E-3</v>
      </c>
      <c r="N198" s="4">
        <f t="shared" si="101"/>
        <v>0.22757725265218998</v>
      </c>
      <c r="O198" s="40">
        <f t="shared" si="93"/>
        <v>122.75772526521902</v>
      </c>
      <c r="P198" s="36">
        <f>(1+Q196)*(1+Q197)*(1+Q198)-1</f>
        <v>3.1036694682478272E-2</v>
      </c>
      <c r="Q198" s="4">
        <v>-3.2279094913258977E-3</v>
      </c>
      <c r="R198" s="4">
        <f t="shared" si="94"/>
        <v>0.3482309925798468</v>
      </c>
      <c r="S198" s="41">
        <f t="shared" si="95"/>
        <v>134.82309925798469</v>
      </c>
    </row>
    <row r="199" spans="1:19" ht="13.5" x14ac:dyDescent="0.25">
      <c r="A199" s="2">
        <v>42855</v>
      </c>
      <c r="B199" s="49">
        <v>606927.05000000005</v>
      </c>
      <c r="C199" s="6">
        <v>4</v>
      </c>
      <c r="D199" s="37"/>
      <c r="E199" s="4">
        <v>8.5000000000000006E-3</v>
      </c>
      <c r="F199" s="4">
        <f t="shared" si="100"/>
        <v>0.27803027594761986</v>
      </c>
      <c r="G199" s="40">
        <f t="shared" si="89"/>
        <v>127.80302759476199</v>
      </c>
      <c r="H199" s="37"/>
      <c r="I199" s="4">
        <v>8.5000000000000006E-3</v>
      </c>
      <c r="J199" s="4">
        <f t="shared" si="90"/>
        <v>0.28748378400972463</v>
      </c>
      <c r="K199" s="40">
        <f t="shared" si="91"/>
        <v>128.74837840097246</v>
      </c>
      <c r="L199" s="37"/>
      <c r="M199" s="4">
        <v>8.3999999999999995E-3</v>
      </c>
      <c r="N199" s="4">
        <f t="shared" si="101"/>
        <v>0.23788890157446829</v>
      </c>
      <c r="O199" s="40">
        <f t="shared" si="93"/>
        <v>123.78889015744686</v>
      </c>
      <c r="P199" s="37"/>
      <c r="Q199" s="4">
        <v>2.5843090961299442E-3</v>
      </c>
      <c r="R199" s="4">
        <f t="shared" si="94"/>
        <v>0.35171523819765516</v>
      </c>
      <c r="S199" s="41">
        <f t="shared" si="95"/>
        <v>135.17152381976553</v>
      </c>
    </row>
    <row r="200" spans="1:19" ht="13.5" x14ac:dyDescent="0.25">
      <c r="A200" s="2">
        <v>42886</v>
      </c>
      <c r="B200" s="49">
        <v>615590.56999999995</v>
      </c>
      <c r="C200" s="6">
        <v>4</v>
      </c>
      <c r="D200" s="37"/>
      <c r="E200" s="4">
        <v>-5.0000000000000001E-3</v>
      </c>
      <c r="F200" s="4">
        <f t="shared" si="100"/>
        <v>0.27164012456788167</v>
      </c>
      <c r="G200" s="40">
        <f t="shared" si="89"/>
        <v>127.16401245678817</v>
      </c>
      <c r="H200" s="37"/>
      <c r="I200" s="4">
        <v>-4.5999999999999999E-3</v>
      </c>
      <c r="J200" s="4">
        <f t="shared" si="90"/>
        <v>0.28156135860327991</v>
      </c>
      <c r="K200" s="40">
        <f t="shared" si="91"/>
        <v>128.15613586032796</v>
      </c>
      <c r="L200" s="37"/>
      <c r="M200" s="4">
        <v>-4.8999999999999998E-3</v>
      </c>
      <c r="N200" s="4">
        <f t="shared" si="101"/>
        <v>0.2318232459567533</v>
      </c>
      <c r="O200" s="40">
        <f t="shared" si="93"/>
        <v>123.18232459567537</v>
      </c>
      <c r="P200" s="37"/>
      <c r="Q200" s="4">
        <v>-6.9851069246436026E-3</v>
      </c>
      <c r="R200" s="4">
        <f t="shared" si="94"/>
        <v>0.34227336272717435</v>
      </c>
      <c r="S200" s="41">
        <f t="shared" si="95"/>
        <v>134.22733627271745</v>
      </c>
    </row>
    <row r="201" spans="1:19" ht="13.5" x14ac:dyDescent="0.25">
      <c r="A201" s="2">
        <v>42916</v>
      </c>
      <c r="B201" s="49">
        <v>621379.5</v>
      </c>
      <c r="C201" s="6">
        <v>4</v>
      </c>
      <c r="D201" s="36">
        <f>(1+E199)*(1+E200)*(1+E201)-1</f>
        <v>1.2890000499999887E-2</v>
      </c>
      <c r="E201" s="4">
        <v>9.4000000000000004E-3</v>
      </c>
      <c r="F201" s="4">
        <f t="shared" si="100"/>
        <v>0.28359354173881979</v>
      </c>
      <c r="G201" s="40">
        <f t="shared" si="89"/>
        <v>128.359354173882</v>
      </c>
      <c r="H201" s="36">
        <f>(1+I199)*(1+I200)*(1+I201)-1</f>
        <v>1.470259771999971E-2</v>
      </c>
      <c r="I201" s="4">
        <v>1.0800000000000001E-2</v>
      </c>
      <c r="J201" s="4">
        <f t="shared" si="90"/>
        <v>0.29540222127619531</v>
      </c>
      <c r="K201" s="40">
        <f t="shared" si="91"/>
        <v>129.5402221276195</v>
      </c>
      <c r="L201" s="36">
        <f>(1+M199)*(1+M200)*(1+M201)-1</f>
        <v>1.9714873207999917E-2</v>
      </c>
      <c r="M201" s="4">
        <v>1.6199999999999999E-2</v>
      </c>
      <c r="N201" s="4">
        <f t="shared" si="101"/>
        <v>0.25177878254125274</v>
      </c>
      <c r="O201" s="40">
        <f t="shared" si="93"/>
        <v>125.1778782541253</v>
      </c>
      <c r="P201" s="36">
        <f>(1+Q199)*(1+Q200)*(1+Q201)-1</f>
        <v>2.1376383881568373E-3</v>
      </c>
      <c r="Q201" s="4">
        <v>6.5855886170265165E-3</v>
      </c>
      <c r="R201" s="4">
        <f t="shared" si="94"/>
        <v>0.35111302290568824</v>
      </c>
      <c r="S201" s="41">
        <f t="shared" si="95"/>
        <v>135.11130229056886</v>
      </c>
    </row>
    <row r="202" spans="1:19" ht="13.5" x14ac:dyDescent="0.25">
      <c r="A202" s="2">
        <v>42947</v>
      </c>
      <c r="B202" s="49">
        <v>620200.14</v>
      </c>
      <c r="C202" s="6">
        <v>4</v>
      </c>
      <c r="D202" s="37"/>
      <c r="E202" s="4">
        <v>-1.9E-3</v>
      </c>
      <c r="F202" s="4">
        <f t="shared" ref="F202:F207" si="102">(F201+1)*(E202+1)-1</f>
        <v>0.28115471400951608</v>
      </c>
      <c r="G202" s="40">
        <f t="shared" si="89"/>
        <v>128.11547140095161</v>
      </c>
      <c r="H202" s="37"/>
      <c r="I202" s="4">
        <v>-1.9E-3</v>
      </c>
      <c r="J202" s="4">
        <f t="shared" si="90"/>
        <v>0.29294095705577061</v>
      </c>
      <c r="K202" s="40">
        <f t="shared" si="91"/>
        <v>129.29409570557704</v>
      </c>
      <c r="L202" s="37"/>
      <c r="M202" s="4">
        <v>8.8000000000000005E-3</v>
      </c>
      <c r="N202" s="4">
        <f t="shared" ref="N202:N207" si="103">(N201+1)*(M202+1)-1</f>
        <v>0.26279443582761575</v>
      </c>
      <c r="O202" s="40">
        <f t="shared" si="93"/>
        <v>126.2794435827616</v>
      </c>
      <c r="P202" s="37"/>
      <c r="Q202" s="4">
        <v>9.4078319006685174E-3</v>
      </c>
      <c r="R202" s="4">
        <f t="shared" si="94"/>
        <v>0.36382406710398896</v>
      </c>
      <c r="S202" s="41">
        <f t="shared" si="95"/>
        <v>136.38240671039893</v>
      </c>
    </row>
    <row r="203" spans="1:19" ht="13.5" x14ac:dyDescent="0.25">
      <c r="A203" s="2">
        <v>42978</v>
      </c>
      <c r="B203" s="49">
        <v>608594.1</v>
      </c>
      <c r="C203" s="6">
        <v>4</v>
      </c>
      <c r="D203" s="37"/>
      <c r="E203" s="4">
        <v>-1.8700000000000001E-2</v>
      </c>
      <c r="F203" s="4">
        <f t="shared" si="102"/>
        <v>0.2571971208575381</v>
      </c>
      <c r="G203" s="40">
        <f t="shared" si="89"/>
        <v>125.7197120857538</v>
      </c>
      <c r="H203" s="37"/>
      <c r="I203" s="4">
        <v>-1.83E-2</v>
      </c>
      <c r="J203" s="4">
        <f t="shared" si="90"/>
        <v>0.26928013754165003</v>
      </c>
      <c r="K203" s="40">
        <f t="shared" si="91"/>
        <v>126.92801375416498</v>
      </c>
      <c r="L203" s="37"/>
      <c r="M203" s="4">
        <v>-1.54E-2</v>
      </c>
      <c r="N203" s="4">
        <f t="shared" si="103"/>
        <v>0.24334740151587053</v>
      </c>
      <c r="O203" s="40">
        <f t="shared" si="93"/>
        <v>124.33474015158707</v>
      </c>
      <c r="P203" s="37"/>
      <c r="Q203" s="4">
        <v>-1.9539196669347558E-2</v>
      </c>
      <c r="R203" s="4">
        <f t="shared" si="94"/>
        <v>0.33717604043445459</v>
      </c>
      <c r="S203" s="41">
        <f t="shared" si="95"/>
        <v>133.7176040434455</v>
      </c>
    </row>
    <row r="204" spans="1:19" ht="13.5" x14ac:dyDescent="0.25">
      <c r="A204" s="2">
        <v>43008</v>
      </c>
      <c r="B204" s="49">
        <v>655558.48</v>
      </c>
      <c r="C204" s="6">
        <v>4</v>
      </c>
      <c r="D204" s="36">
        <f>(1+E202)*(1+E203)*(1+E204)-1</f>
        <v>2.2726580425999954E-2</v>
      </c>
      <c r="E204" s="4">
        <v>4.4200000000000003E-2</v>
      </c>
      <c r="F204" s="4">
        <f t="shared" si="102"/>
        <v>0.31276523359944131</v>
      </c>
      <c r="G204" s="40">
        <f t="shared" si="89"/>
        <v>131.27652335994412</v>
      </c>
      <c r="H204" s="36">
        <f>(1+I202)*(1+I203)*(1+I204)-1</f>
        <v>2.4613218989000041E-2</v>
      </c>
      <c r="I204" s="4">
        <v>4.5699999999999998E-2</v>
      </c>
      <c r="J204" s="4">
        <f t="shared" si="90"/>
        <v>0.32728623982730354</v>
      </c>
      <c r="K204" s="40">
        <f t="shared" si="91"/>
        <v>132.72862398273034</v>
      </c>
      <c r="L204" s="36">
        <f>(1+M202)*(1+M203)*(1+M204)-1</f>
        <v>3.2200447615999828E-2</v>
      </c>
      <c r="M204" s="4">
        <v>3.9199999999999999E-2</v>
      </c>
      <c r="N204" s="4">
        <f t="shared" si="103"/>
        <v>0.29208661965529248</v>
      </c>
      <c r="O204" s="40">
        <f t="shared" si="93"/>
        <v>129.20866196552927</v>
      </c>
      <c r="P204" s="36">
        <f>(1+Q202)*(1+Q203)*(1+Q204)-1</f>
        <v>2.2397325692454562E-2</v>
      </c>
      <c r="Q204" s="4">
        <v>3.305346458212699E-2</v>
      </c>
      <c r="R204" s="4">
        <f t="shared" si="94"/>
        <v>0.38137434132702364</v>
      </c>
      <c r="S204" s="41">
        <f t="shared" si="95"/>
        <v>138.13743413270242</v>
      </c>
    </row>
    <row r="205" spans="1:19" ht="13.5" x14ac:dyDescent="0.25">
      <c r="A205" s="2">
        <v>43039</v>
      </c>
      <c r="B205" s="49">
        <v>537665.87</v>
      </c>
      <c r="C205" s="6">
        <v>3</v>
      </c>
      <c r="D205" s="37"/>
      <c r="E205" s="4">
        <v>6.1999999999999998E-3</v>
      </c>
      <c r="F205" s="4">
        <f t="shared" si="102"/>
        <v>0.32090437804775784</v>
      </c>
      <c r="G205" s="40">
        <f t="shared" si="89"/>
        <v>132.09043780477577</v>
      </c>
      <c r="H205" s="37"/>
      <c r="I205" s="4">
        <v>6.1999999999999998E-3</v>
      </c>
      <c r="J205" s="4">
        <f t="shared" si="90"/>
        <v>0.33551541451423272</v>
      </c>
      <c r="K205" s="40">
        <f t="shared" si="91"/>
        <v>133.55154145142328</v>
      </c>
      <c r="L205" s="37"/>
      <c r="M205" s="4">
        <v>2.2599999999999999E-2</v>
      </c>
      <c r="N205" s="4">
        <f t="shared" si="103"/>
        <v>0.32128777725950197</v>
      </c>
      <c r="O205" s="40">
        <f t="shared" si="93"/>
        <v>132.12877772595024</v>
      </c>
      <c r="P205" s="37"/>
      <c r="Q205" s="4">
        <v>2.0972488205894813E-2</v>
      </c>
      <c r="R205" s="4">
        <f t="shared" si="94"/>
        <v>0.41034519840843031</v>
      </c>
      <c r="S205" s="41">
        <f t="shared" si="95"/>
        <v>141.0345198408431</v>
      </c>
    </row>
    <row r="206" spans="1:19" ht="13.5" x14ac:dyDescent="0.25">
      <c r="A206" s="2">
        <v>43069</v>
      </c>
      <c r="B206" s="49">
        <v>563459.71</v>
      </c>
      <c r="C206" s="6">
        <v>3</v>
      </c>
      <c r="D206" s="37"/>
      <c r="E206" s="4">
        <v>4.8000000000000001E-2</v>
      </c>
      <c r="F206" s="4">
        <f t="shared" si="102"/>
        <v>0.3843077881940502</v>
      </c>
      <c r="G206" s="40">
        <f t="shared" si="89"/>
        <v>138.43077881940502</v>
      </c>
      <c r="H206" s="37"/>
      <c r="I206" s="4">
        <v>4.8000000000000001E-2</v>
      </c>
      <c r="J206" s="4">
        <f t="shared" ref="J206:J237" si="104">(J205+1)*(I206+1)-1</f>
        <v>0.39962015441091592</v>
      </c>
      <c r="K206" s="40">
        <f t="shared" si="91"/>
        <v>139.96201544109161</v>
      </c>
      <c r="L206" s="37"/>
      <c r="M206" s="4">
        <v>3.6799999999999999E-2</v>
      </c>
      <c r="N206" s="4">
        <f t="shared" si="103"/>
        <v>0.36991116746265162</v>
      </c>
      <c r="O206" s="40">
        <f t="shared" si="93"/>
        <v>136.99111674626519</v>
      </c>
      <c r="P206" s="37"/>
      <c r="Q206" s="4">
        <v>3.199438801964205E-2</v>
      </c>
      <c r="R206" s="4">
        <f t="shared" si="94"/>
        <v>0.45546832992794872</v>
      </c>
      <c r="S206" s="41">
        <f t="shared" si="95"/>
        <v>145.54683299279495</v>
      </c>
    </row>
    <row r="207" spans="1:19" ht="13.5" x14ac:dyDescent="0.25">
      <c r="A207" s="2">
        <v>43100</v>
      </c>
      <c r="B207" s="49">
        <v>572442.4</v>
      </c>
      <c r="C207" s="6">
        <v>3</v>
      </c>
      <c r="D207" s="36">
        <f>(1+E205)*(1+E206)*(1+E207)-1</f>
        <v>7.1264111839999922E-2</v>
      </c>
      <c r="E207" s="4">
        <v>1.5900000000000001E-2</v>
      </c>
      <c r="F207" s="4">
        <f t="shared" si="102"/>
        <v>0.40631828202633558</v>
      </c>
      <c r="G207" s="40">
        <f t="shared" si="89"/>
        <v>140.63182820263356</v>
      </c>
      <c r="H207" s="36">
        <f>(1+I205)*(1+I206)*(1+I207)-1</f>
        <v>7.3162207520000022E-2</v>
      </c>
      <c r="I207" s="4">
        <v>1.77E-2</v>
      </c>
      <c r="J207" s="4">
        <f t="shared" si="104"/>
        <v>0.4243934311439892</v>
      </c>
      <c r="K207" s="40">
        <f t="shared" si="91"/>
        <v>142.43934311439892</v>
      </c>
      <c r="L207" s="36">
        <f>(1+M205)*(1+M206)*(1+M207)-1</f>
        <v>6.2564189695999861E-2</v>
      </c>
      <c r="M207" s="4">
        <v>2.2000000000000001E-3</v>
      </c>
      <c r="N207" s="4">
        <f t="shared" si="103"/>
        <v>0.37292497203106945</v>
      </c>
      <c r="O207" s="40">
        <f t="shared" si="93"/>
        <v>137.29249720310696</v>
      </c>
      <c r="P207" s="36">
        <f>(1+Q205)*(1+Q206)*(1+Q207)-1</f>
        <v>4.7705793513631578E-2</v>
      </c>
      <c r="Q207" s="4">
        <v>-5.6300981203453171E-3</v>
      </c>
      <c r="R207" s="4">
        <f t="shared" si="94"/>
        <v>0.4472739004193993</v>
      </c>
      <c r="S207" s="41">
        <f t="shared" si="95"/>
        <v>144.72739004194</v>
      </c>
    </row>
    <row r="208" spans="1:19" ht="13.5" x14ac:dyDescent="0.25">
      <c r="A208" s="2">
        <v>43131</v>
      </c>
      <c r="B208" s="49">
        <v>587760.02</v>
      </c>
      <c r="C208" s="6">
        <v>3</v>
      </c>
      <c r="D208" s="37"/>
      <c r="E208" s="4">
        <v>2.6800000000000001E-2</v>
      </c>
      <c r="F208" s="4">
        <f t="shared" ref="F208:F216" si="105">(F207+1)*(E208+1)-1</f>
        <v>0.44400761198464123</v>
      </c>
      <c r="G208" s="40">
        <f t="shared" si="89"/>
        <v>144.40076119846412</v>
      </c>
      <c r="H208" s="37"/>
      <c r="I208" s="4">
        <v>2.6800000000000001E-2</v>
      </c>
      <c r="J208" s="4">
        <f t="shared" si="104"/>
        <v>0.46256717509864798</v>
      </c>
      <c r="K208" s="40">
        <f t="shared" si="91"/>
        <v>146.25671750986481</v>
      </c>
      <c r="L208" s="37"/>
      <c r="M208" s="4">
        <v>2.87E-2</v>
      </c>
      <c r="N208" s="4">
        <f t="shared" ref="N208:N216" si="106">(N207+1)*(M208+1)-1</f>
        <v>0.41232791872836105</v>
      </c>
      <c r="O208" s="40">
        <f t="shared" si="93"/>
        <v>141.23279187283612</v>
      </c>
      <c r="P208" s="37"/>
      <c r="Q208" s="4">
        <v>5.0080991514467321E-3</v>
      </c>
      <c r="R208" s="4">
        <f t="shared" si="94"/>
        <v>0.45452199161200069</v>
      </c>
      <c r="S208" s="41">
        <f t="shared" si="95"/>
        <v>145.45219916120013</v>
      </c>
    </row>
    <row r="209" spans="1:19" ht="13.5" x14ac:dyDescent="0.25">
      <c r="A209" s="2">
        <v>43159</v>
      </c>
      <c r="B209" s="49">
        <v>693923.41</v>
      </c>
      <c r="C209" s="6">
        <v>4</v>
      </c>
      <c r="D209" s="37"/>
      <c r="E209" s="4">
        <v>-4.02E-2</v>
      </c>
      <c r="F209" s="4">
        <f t="shared" si="105"/>
        <v>0.38595850598285852</v>
      </c>
      <c r="G209" s="40">
        <f t="shared" si="89"/>
        <v>138.59585059828586</v>
      </c>
      <c r="H209" s="37"/>
      <c r="I209" s="4">
        <v>-4.02E-2</v>
      </c>
      <c r="J209" s="4">
        <f t="shared" si="104"/>
        <v>0.4037719746596824</v>
      </c>
      <c r="K209" s="40">
        <f t="shared" si="91"/>
        <v>140.37719746596824</v>
      </c>
      <c r="L209" s="37"/>
      <c r="M209" s="4">
        <v>-4.4299999999999999E-2</v>
      </c>
      <c r="N209" s="4">
        <f t="shared" si="106"/>
        <v>0.34976179192869461</v>
      </c>
      <c r="O209" s="40">
        <f t="shared" si="93"/>
        <v>134.97617919286947</v>
      </c>
      <c r="P209" s="37"/>
      <c r="Q209" s="4">
        <v>-4.3428757319453504E-2</v>
      </c>
      <c r="R209" s="4">
        <f t="shared" si="94"/>
        <v>0.39135390902247491</v>
      </c>
      <c r="S209" s="41">
        <f t="shared" si="95"/>
        <v>139.13539090224754</v>
      </c>
    </row>
    <row r="210" spans="1:19" ht="13.5" x14ac:dyDescent="0.25">
      <c r="A210" s="2">
        <v>43190</v>
      </c>
      <c r="B210" s="49">
        <v>691890.98</v>
      </c>
      <c r="C210" s="6">
        <v>4</v>
      </c>
      <c r="D210" s="36">
        <f>(1+E208)*(1+E209)*(1+E210)-1</f>
        <v>-1.7335375656000074E-2</v>
      </c>
      <c r="E210" s="4">
        <v>-2.8999999999999998E-3</v>
      </c>
      <c r="F210" s="4">
        <f t="shared" si="105"/>
        <v>0.38193922631550814</v>
      </c>
      <c r="G210" s="40">
        <f t="shared" si="89"/>
        <v>138.19392263155083</v>
      </c>
      <c r="H210" s="36">
        <f>(1+I208)*(1+I209)*(1+I210)-1</f>
        <v>-1.5364330376000157E-2</v>
      </c>
      <c r="I210" s="4">
        <v>-8.9999999999999998E-4</v>
      </c>
      <c r="J210" s="4">
        <f t="shared" si="104"/>
        <v>0.40250857988248856</v>
      </c>
      <c r="K210" s="40">
        <f t="shared" si="91"/>
        <v>140.25085798824887</v>
      </c>
      <c r="L210" s="36">
        <f>(1+M208)*(1+M209)*(1+M210)-1</f>
        <v>-7.7283141129999011E-3</v>
      </c>
      <c r="M210" s="4">
        <v>9.2999999999999992E-3</v>
      </c>
      <c r="N210" s="4">
        <f t="shared" si="106"/>
        <v>0.36231457659363153</v>
      </c>
      <c r="O210" s="40">
        <f t="shared" si="93"/>
        <v>136.23145765936317</v>
      </c>
      <c r="P210" s="36">
        <f>(1+Q208)*(1+Q209)*(1+Q210)-1</f>
        <v>-2.3301778841152476E-2</v>
      </c>
      <c r="Q210" s="4">
        <v>1.5952760043901115E-2</v>
      </c>
      <c r="R210" s="4">
        <f t="shared" si="94"/>
        <v>0.41354984406925421</v>
      </c>
      <c r="S210" s="41">
        <f t="shared" si="95"/>
        <v>141.35498440692547</v>
      </c>
    </row>
    <row r="211" spans="1:19" ht="13.5" x14ac:dyDescent="0.25">
      <c r="A211" s="2">
        <v>43220</v>
      </c>
      <c r="B211" s="49">
        <v>694595.04</v>
      </c>
      <c r="C211" s="6">
        <v>4</v>
      </c>
      <c r="D211" s="37"/>
      <c r="E211" s="4">
        <v>3.8999999999999998E-3</v>
      </c>
      <c r="F211" s="4">
        <f t="shared" si="105"/>
        <v>0.38732878929813874</v>
      </c>
      <c r="G211" s="40">
        <f t="shared" si="89"/>
        <v>138.73287892981389</v>
      </c>
      <c r="H211" s="37"/>
      <c r="I211" s="4">
        <v>3.8999999999999998E-3</v>
      </c>
      <c r="J211" s="4">
        <f t="shared" si="104"/>
        <v>0.40797836334403037</v>
      </c>
      <c r="K211" s="40">
        <f t="shared" si="91"/>
        <v>140.79783633440303</v>
      </c>
      <c r="L211" s="37"/>
      <c r="M211" s="4">
        <v>-2.5999999999999999E-3</v>
      </c>
      <c r="N211" s="4">
        <f t="shared" si="106"/>
        <v>0.3587725586944881</v>
      </c>
      <c r="O211" s="40">
        <f t="shared" si="93"/>
        <v>135.87725586944882</v>
      </c>
      <c r="P211" s="37"/>
      <c r="Q211" s="4">
        <v>1.3541682516013953E-3</v>
      </c>
      <c r="R211" s="4">
        <f t="shared" si="94"/>
        <v>0.41546402839014895</v>
      </c>
      <c r="S211" s="41">
        <f t="shared" si="95"/>
        <v>141.54640283901495</v>
      </c>
    </row>
    <row r="212" spans="1:19" ht="13.5" x14ac:dyDescent="0.25">
      <c r="A212" s="2">
        <v>43251</v>
      </c>
      <c r="B212" s="49">
        <v>697379.41</v>
      </c>
      <c r="C212" s="6">
        <v>4</v>
      </c>
      <c r="D212" s="37"/>
      <c r="E212" s="4">
        <v>4.0000000000000001E-3</v>
      </c>
      <c r="F212" s="4">
        <f t="shared" si="105"/>
        <v>0.39287810445533133</v>
      </c>
      <c r="G212" s="40">
        <f t="shared" si="89"/>
        <v>139.28781044553315</v>
      </c>
      <c r="H212" s="37"/>
      <c r="I212" s="4">
        <v>4.0000000000000001E-3</v>
      </c>
      <c r="J212" s="4">
        <f t="shared" si="104"/>
        <v>0.41361027679740658</v>
      </c>
      <c r="K212" s="40">
        <f t="shared" si="91"/>
        <v>141.36102767974063</v>
      </c>
      <c r="L212" s="37"/>
      <c r="M212" s="4">
        <v>4.1300000000000003E-2</v>
      </c>
      <c r="N212" s="4">
        <f t="shared" si="106"/>
        <v>0.41488986536857064</v>
      </c>
      <c r="O212" s="40">
        <f t="shared" si="93"/>
        <v>141.48898653685706</v>
      </c>
      <c r="P212" s="37"/>
      <c r="Q212" s="4">
        <v>1.7732328450738466E-2</v>
      </c>
      <c r="R212" s="4">
        <f t="shared" si="94"/>
        <v>0.44056350145176837</v>
      </c>
      <c r="S212" s="41">
        <f t="shared" si="95"/>
        <v>144.05635014517691</v>
      </c>
    </row>
    <row r="213" spans="1:19" ht="13.5" x14ac:dyDescent="0.25">
      <c r="A213" s="2">
        <v>43281</v>
      </c>
      <c r="B213" s="49">
        <v>708045.63</v>
      </c>
      <c r="C213" s="6">
        <v>4</v>
      </c>
      <c r="D213" s="36">
        <f>(1+E211)*(1+E212)*(1+E213)-1</f>
        <v>2.333670868000004E-2</v>
      </c>
      <c r="E213" s="4">
        <v>1.5299999999999999E-2</v>
      </c>
      <c r="F213" s="4">
        <f t="shared" si="105"/>
        <v>0.414189139453498</v>
      </c>
      <c r="G213" s="40">
        <f t="shared" si="89"/>
        <v>141.41891394534983</v>
      </c>
      <c r="H213" s="36">
        <f>(1+I211)*(1+I212)*(1+I213)-1</f>
        <v>2.545333144000006E-2</v>
      </c>
      <c r="I213" s="4">
        <v>1.7399999999999999E-2</v>
      </c>
      <c r="J213" s="4">
        <f t="shared" si="104"/>
        <v>0.43820709561368165</v>
      </c>
      <c r="K213" s="40">
        <f t="shared" si="91"/>
        <v>143.82070956136812</v>
      </c>
      <c r="L213" s="36">
        <f>(1+M211)*(1+M212)*(1+M213)-1</f>
        <v>4.2954709003999891E-2</v>
      </c>
      <c r="M213" s="4">
        <v>4.1999999999999997E-3</v>
      </c>
      <c r="N213" s="4">
        <f t="shared" si="106"/>
        <v>0.42083240280311851</v>
      </c>
      <c r="O213" s="40">
        <f t="shared" si="93"/>
        <v>142.08324028031186</v>
      </c>
      <c r="P213" s="36">
        <f>(1+Q211)*(1+Q212)*(1+Q213)-1</f>
        <v>3.5512682013906893E-2</v>
      </c>
      <c r="Q213" s="4">
        <v>1.6094596813926776E-2</v>
      </c>
      <c r="R213" s="4">
        <f t="shared" si="94"/>
        <v>0.46374879019249327</v>
      </c>
      <c r="S213" s="41">
        <f t="shared" si="95"/>
        <v>146.37487901924939</v>
      </c>
    </row>
    <row r="214" spans="1:19" ht="13.5" x14ac:dyDescent="0.25">
      <c r="A214" s="2">
        <v>43312</v>
      </c>
      <c r="B214" s="49">
        <v>722616.25</v>
      </c>
      <c r="C214" s="6">
        <v>4</v>
      </c>
      <c r="D214" s="37"/>
      <c r="E214" s="4">
        <v>2.1600000000000001E-2</v>
      </c>
      <c r="F214" s="4">
        <f t="shared" si="105"/>
        <v>0.44473562486569373</v>
      </c>
      <c r="G214" s="40">
        <f t="shared" si="89"/>
        <v>144.47356248656939</v>
      </c>
      <c r="H214" s="37"/>
      <c r="I214" s="4">
        <v>2.1600000000000001E-2</v>
      </c>
      <c r="J214" s="4">
        <f t="shared" si="104"/>
        <v>0.46927236887893731</v>
      </c>
      <c r="K214" s="40">
        <f t="shared" si="91"/>
        <v>146.92723688789368</v>
      </c>
      <c r="L214" s="37"/>
      <c r="M214" s="4">
        <v>1.7600000000000001E-2</v>
      </c>
      <c r="N214" s="4">
        <f t="shared" si="106"/>
        <v>0.44583905309245342</v>
      </c>
      <c r="O214" s="40">
        <f t="shared" si="93"/>
        <v>144.58390530924535</v>
      </c>
      <c r="P214" s="37"/>
      <c r="Q214" s="4">
        <v>2.1864025743127069E-2</v>
      </c>
      <c r="R214" s="4">
        <f t="shared" si="94"/>
        <v>0.49575223142273295</v>
      </c>
      <c r="S214" s="41">
        <f t="shared" si="95"/>
        <v>149.57522314227336</v>
      </c>
    </row>
    <row r="215" spans="1:19" ht="13.5" x14ac:dyDescent="0.25">
      <c r="A215" s="2">
        <v>43343</v>
      </c>
      <c r="B215" s="49">
        <v>941086.2</v>
      </c>
      <c r="C215" s="6">
        <v>5</v>
      </c>
      <c r="D215" s="37"/>
      <c r="E215" s="4">
        <v>1.9E-2</v>
      </c>
      <c r="F215" s="4">
        <f>(F214+1)*(E215+1)-1</f>
        <v>0.47218560173814184</v>
      </c>
      <c r="G215" s="40">
        <f t="shared" si="89"/>
        <v>147.21856017381421</v>
      </c>
      <c r="H215" s="37"/>
      <c r="I215" s="4">
        <v>1.9E-2</v>
      </c>
      <c r="J215" s="4">
        <f t="shared" si="104"/>
        <v>0.49718854388763689</v>
      </c>
      <c r="K215" s="40">
        <f t="shared" si="91"/>
        <v>149.71885438876365</v>
      </c>
      <c r="L215" s="37"/>
      <c r="M215" s="4">
        <v>3.1899999999999998E-2</v>
      </c>
      <c r="N215" s="4">
        <f t="shared" si="106"/>
        <v>0.49196131888610273</v>
      </c>
      <c r="O215" s="40">
        <f t="shared" si="93"/>
        <v>149.1961318886103</v>
      </c>
      <c r="P215" s="37"/>
      <c r="Q215" s="4">
        <v>3.3474728592997272E-2</v>
      </c>
      <c r="R215" s="4">
        <f t="shared" si="94"/>
        <v>0.54582213141197888</v>
      </c>
      <c r="S215" s="41">
        <f t="shared" si="95"/>
        <v>154.58221314119797</v>
      </c>
    </row>
    <row r="216" spans="1:19" ht="13.5" x14ac:dyDescent="0.25">
      <c r="A216" s="2">
        <v>43373</v>
      </c>
      <c r="B216" s="49">
        <v>941699.42</v>
      </c>
      <c r="C216" s="6">
        <v>5</v>
      </c>
      <c r="D216" s="36">
        <f>(1+E214)*(1+E215)*(1+E216)-1</f>
        <v>4.1739107279999965E-2</v>
      </c>
      <c r="E216" s="4">
        <v>6.9999999999999999E-4</v>
      </c>
      <c r="F216" s="4">
        <f t="shared" si="105"/>
        <v>0.47321613165935839</v>
      </c>
      <c r="G216" s="40">
        <f t="shared" si="89"/>
        <v>147.32161316593587</v>
      </c>
      <c r="H216" s="36">
        <f>(1+I214)*(1+I215)*(1+I216)-1</f>
        <v>4.3300622879999917E-2</v>
      </c>
      <c r="I216" s="4">
        <v>2.2000000000000001E-3</v>
      </c>
      <c r="J216" s="4">
        <f t="shared" si="104"/>
        <v>0.50048235868418955</v>
      </c>
      <c r="K216" s="40">
        <f t="shared" si="91"/>
        <v>150.04823586841891</v>
      </c>
      <c r="L216" s="36">
        <f>(1+M214)*(1+M215)*(1+M216)-1</f>
        <v>3.851076416000021E-2</v>
      </c>
      <c r="M216" s="4">
        <v>-1.0999999999999999E-2</v>
      </c>
      <c r="N216" s="4">
        <f t="shared" si="106"/>
        <v>0.47554974437835562</v>
      </c>
      <c r="O216" s="40">
        <f t="shared" si="93"/>
        <v>147.55497443783557</v>
      </c>
      <c r="P216" s="36">
        <f>(1+Q214)*(1+Q215)*(1+Q216)-1</f>
        <v>5.0648720925106749E-2</v>
      </c>
      <c r="Q216" s="4">
        <v>-5.1340559041643807E-3</v>
      </c>
      <c r="R216" s="4">
        <f t="shared" si="94"/>
        <v>0.53788579417141524</v>
      </c>
      <c r="S216" s="41">
        <f t="shared" si="95"/>
        <v>153.78857941714159</v>
      </c>
    </row>
    <row r="217" spans="1:19" ht="13.5" x14ac:dyDescent="0.25">
      <c r="A217" s="2">
        <v>43404</v>
      </c>
      <c r="B217" s="49">
        <v>892963.63</v>
      </c>
      <c r="C217" s="6">
        <v>5</v>
      </c>
      <c r="D217" s="37"/>
      <c r="E217" s="4">
        <v>-5.1799999999999999E-2</v>
      </c>
      <c r="F217" s="4">
        <f t="shared" ref="F217:F222" si="107">(F216+1)*(E217+1)-1</f>
        <v>0.39690353603940376</v>
      </c>
      <c r="G217" s="40">
        <f t="shared" si="89"/>
        <v>139.69035360394039</v>
      </c>
      <c r="H217" s="37"/>
      <c r="I217" s="4">
        <v>-5.1299999999999998E-2</v>
      </c>
      <c r="J217" s="4">
        <f t="shared" si="104"/>
        <v>0.42350761368369061</v>
      </c>
      <c r="K217" s="40">
        <f t="shared" si="91"/>
        <v>142.35076136836904</v>
      </c>
      <c r="L217" s="37"/>
      <c r="M217" s="4">
        <v>-9.5500000000000002E-2</v>
      </c>
      <c r="N217" s="4">
        <f t="shared" ref="N217:N222" si="108">(N216+1)*(M217+1)-1</f>
        <v>0.33463474379022262</v>
      </c>
      <c r="O217" s="40">
        <f t="shared" si="93"/>
        <v>133.46347437902227</v>
      </c>
      <c r="P217" s="37"/>
      <c r="Q217" s="4">
        <v>-4.8892369657641432E-2</v>
      </c>
      <c r="R217" s="4">
        <f t="shared" si="94"/>
        <v>0.462694913431551</v>
      </c>
      <c r="S217" s="41">
        <f t="shared" si="95"/>
        <v>146.26949134315515</v>
      </c>
    </row>
    <row r="218" spans="1:19" ht="13.5" x14ac:dyDescent="0.25">
      <c r="A218" s="2">
        <v>43434</v>
      </c>
      <c r="B218" s="49">
        <v>875068.05</v>
      </c>
      <c r="C218" s="6">
        <v>5</v>
      </c>
      <c r="D218" s="37"/>
      <c r="E218" s="4">
        <v>3.2599999999999997E-2</v>
      </c>
      <c r="F218" s="4">
        <f t="shared" si="107"/>
        <v>0.4424425913142882</v>
      </c>
      <c r="G218" s="40">
        <f t="shared" si="89"/>
        <v>144.24425913142883</v>
      </c>
      <c r="H218" s="37"/>
      <c r="I218" s="4">
        <v>3.2599999999999997E-2</v>
      </c>
      <c r="J218" s="4">
        <f t="shared" si="104"/>
        <v>0.46991396188977896</v>
      </c>
      <c r="K218" s="40">
        <f t="shared" si="91"/>
        <v>146.99139618897786</v>
      </c>
      <c r="L218" s="37"/>
      <c r="M218" s="4">
        <v>3.1199999999999999E-2</v>
      </c>
      <c r="N218" s="4">
        <f t="shared" si="108"/>
        <v>0.37627534779647753</v>
      </c>
      <c r="O218" s="40">
        <f t="shared" si="93"/>
        <v>137.62753477964776</v>
      </c>
      <c r="P218" s="37"/>
      <c r="Q218" s="4">
        <v>4.4230090577578984E-2</v>
      </c>
      <c r="R218" s="4">
        <f t="shared" si="94"/>
        <v>0.52739004193999262</v>
      </c>
      <c r="S218" s="41">
        <f t="shared" si="95"/>
        <v>152.73900419399931</v>
      </c>
    </row>
    <row r="219" spans="1:19" ht="13.5" x14ac:dyDescent="0.25">
      <c r="A219" s="2">
        <v>43465</v>
      </c>
      <c r="B219" s="49">
        <v>799591.83</v>
      </c>
      <c r="C219" s="6">
        <v>5</v>
      </c>
      <c r="D219" s="36">
        <f>(1+E217)*(1+E218)*(1+E219)-1</f>
        <v>-0.10538598691599999</v>
      </c>
      <c r="E219" s="4">
        <v>-8.6300000000000002E-2</v>
      </c>
      <c r="F219" s="4">
        <f t="shared" si="107"/>
        <v>0.31795979568386512</v>
      </c>
      <c r="G219" s="40">
        <f t="shared" si="89"/>
        <v>131.79597956838651</v>
      </c>
      <c r="H219" s="36">
        <f>(1+I217)*(1+I218)*(1+I219)-1</f>
        <v>-0.10354276493800008</v>
      </c>
      <c r="I219" s="4">
        <v>-8.4900000000000003E-2</v>
      </c>
      <c r="J219" s="4">
        <f t="shared" si="104"/>
        <v>0.34511826652533673</v>
      </c>
      <c r="K219" s="40">
        <f t="shared" si="91"/>
        <v>134.51182665253364</v>
      </c>
      <c r="L219" s="36">
        <f>(1+M217)*(1+M218)*(1+M219)-1</f>
        <v>-0.17286354928000003</v>
      </c>
      <c r="M219" s="4">
        <v>-0.1132</v>
      </c>
      <c r="N219" s="4">
        <f t="shared" si="108"/>
        <v>0.2204809784259163</v>
      </c>
      <c r="O219" s="40">
        <f t="shared" si="93"/>
        <v>122.04809784259164</v>
      </c>
      <c r="P219" s="36">
        <f>(1+Q217)*(1+Q218)*(1+Q219)-1</f>
        <v>-8.4960281942269011E-2</v>
      </c>
      <c r="Q219" s="4">
        <v>-7.8672411850850499E-2</v>
      </c>
      <c r="R219" s="4">
        <f t="shared" si="94"/>
        <v>0.40722658350360175</v>
      </c>
      <c r="S219" s="41">
        <f t="shared" si="95"/>
        <v>140.72265835036021</v>
      </c>
    </row>
    <row r="220" spans="1:19" ht="13.5" x14ac:dyDescent="0.25">
      <c r="A220" s="2">
        <v>43496</v>
      </c>
      <c r="B220" s="49">
        <v>873493.04</v>
      </c>
      <c r="C220" s="6">
        <v>5</v>
      </c>
      <c r="D220" s="37"/>
      <c r="E220" s="4">
        <v>9.2399999999999996E-2</v>
      </c>
      <c r="F220" s="4">
        <f>(F219+1)*(E220+1)-1</f>
        <v>0.4397392808050542</v>
      </c>
      <c r="G220" s="40">
        <f t="shared" si="89"/>
        <v>143.97392808050543</v>
      </c>
      <c r="H220" s="37"/>
      <c r="I220" s="4">
        <v>9.2999999999999999E-2</v>
      </c>
      <c r="J220" s="4">
        <f t="shared" si="104"/>
        <v>0.47021426531219301</v>
      </c>
      <c r="K220" s="40">
        <f t="shared" si="91"/>
        <v>147.02142653121928</v>
      </c>
      <c r="L220" s="37"/>
      <c r="M220" s="4">
        <v>0.1046</v>
      </c>
      <c r="N220" s="4">
        <f>(N219+1)*(M220+1)-1</f>
        <v>0.34814328876926726</v>
      </c>
      <c r="O220" s="40">
        <f t="shared" si="93"/>
        <v>134.81432887692674</v>
      </c>
      <c r="P220" s="37"/>
      <c r="Q220" s="4">
        <v>6.6224457045041207E-2</v>
      </c>
      <c r="R220" s="4">
        <f>(R219+1)*(Q220+1)-1</f>
        <v>0.50041939993547602</v>
      </c>
      <c r="S220" s="41">
        <f t="shared" si="95"/>
        <v>150.04193999354766</v>
      </c>
    </row>
    <row r="221" spans="1:19" ht="13.5" x14ac:dyDescent="0.25">
      <c r="A221" s="2">
        <v>43524</v>
      </c>
      <c r="B221" s="49">
        <v>894056.55</v>
      </c>
      <c r="C221" s="6">
        <v>5</v>
      </c>
      <c r="D221" s="37"/>
      <c r="E221" s="4">
        <v>2.35E-2</v>
      </c>
      <c r="F221" s="4">
        <f t="shared" si="107"/>
        <v>0.47357315390397314</v>
      </c>
      <c r="G221" s="40">
        <f t="shared" si="89"/>
        <v>147.35731539039733</v>
      </c>
      <c r="H221" s="37"/>
      <c r="I221" s="4">
        <v>2.35E-2</v>
      </c>
      <c r="J221" s="4">
        <f t="shared" si="104"/>
        <v>0.5047643005470297</v>
      </c>
      <c r="K221" s="40">
        <f t="shared" si="91"/>
        <v>150.47643005470294</v>
      </c>
      <c r="L221" s="37"/>
      <c r="M221" s="4">
        <v>4.24E-2</v>
      </c>
      <c r="N221" s="4">
        <f t="shared" si="108"/>
        <v>0.40530456421308414</v>
      </c>
      <c r="O221" s="40">
        <f t="shared" si="93"/>
        <v>140.53045642130843</v>
      </c>
      <c r="P221" s="37"/>
      <c r="Q221" s="4">
        <v>3.6409506608181985E-2</v>
      </c>
      <c r="R221" s="4">
        <f t="shared" ref="R221:R284" si="109">(R220+1)*(Q221+1)-1</f>
        <v>0.55504892999247124</v>
      </c>
      <c r="S221" s="41">
        <f t="shared" si="95"/>
        <v>155.50489299924718</v>
      </c>
    </row>
    <row r="222" spans="1:19" ht="13.5" x14ac:dyDescent="0.25">
      <c r="A222" s="2">
        <v>43555</v>
      </c>
      <c r="B222" s="49">
        <v>882579.33</v>
      </c>
      <c r="C222" s="6">
        <v>5</v>
      </c>
      <c r="D222" s="36">
        <f>(1+E220)*(1+E221)*(1+E222)-1</f>
        <v>0.10376008608000009</v>
      </c>
      <c r="E222" s="4">
        <v>-1.2800000000000001E-2</v>
      </c>
      <c r="F222" s="4">
        <f t="shared" si="107"/>
        <v>0.45471141753400213</v>
      </c>
      <c r="G222" s="40">
        <f t="shared" si="89"/>
        <v>145.47114175340025</v>
      </c>
      <c r="H222" s="36">
        <f>(1+I220)*(1+I221)*(1+I222)-1</f>
        <v>0.10604435384999999</v>
      </c>
      <c r="I222" s="4">
        <v>-1.1299999999999999E-2</v>
      </c>
      <c r="J222" s="4">
        <f t="shared" si="104"/>
        <v>0.48776046395084838</v>
      </c>
      <c r="K222" s="40">
        <f t="shared" si="91"/>
        <v>148.77604639508482</v>
      </c>
      <c r="L222" s="36">
        <f>(1+M220)*(1+M221)*(1+M222)-1</f>
        <v>0.14487186027199983</v>
      </c>
      <c r="M222" s="4">
        <v>-5.7000000000000002E-3</v>
      </c>
      <c r="N222" s="4">
        <f t="shared" si="108"/>
        <v>0.39729432819706956</v>
      </c>
      <c r="O222" s="40">
        <f t="shared" si="93"/>
        <v>139.72943281970697</v>
      </c>
      <c r="P222" s="36">
        <f>(1+Q220)*(1+Q221)*(1+Q222)-1</f>
        <v>9.3567072704763721E-2</v>
      </c>
      <c r="Q222" s="4">
        <v>-1.038698791181436E-2</v>
      </c>
      <c r="R222" s="4">
        <f t="shared" si="109"/>
        <v>0.5388966555543595</v>
      </c>
      <c r="S222" s="41">
        <f t="shared" si="95"/>
        <v>153.88966555543601</v>
      </c>
    </row>
    <row r="223" spans="1:19" ht="13.5" x14ac:dyDescent="0.25">
      <c r="A223" s="2">
        <v>43585</v>
      </c>
      <c r="B223" s="49">
        <v>2111622.66</v>
      </c>
      <c r="C223" s="6">
        <v>7</v>
      </c>
      <c r="D223" s="37"/>
      <c r="E223" s="4">
        <v>2.5600000000000001E-2</v>
      </c>
      <c r="F223" s="4">
        <f t="shared" ref="F223:F231" si="110">(F222+1)*(E223+1)-1</f>
        <v>0.49195202982287278</v>
      </c>
      <c r="G223" s="40">
        <f t="shared" si="89"/>
        <v>149.1952029822873</v>
      </c>
      <c r="H223" s="37"/>
      <c r="I223" s="4">
        <v>2.6200000000000001E-2</v>
      </c>
      <c r="J223" s="4">
        <f t="shared" si="104"/>
        <v>0.52673978810636068</v>
      </c>
      <c r="K223" s="40">
        <f t="shared" si="91"/>
        <v>152.67397881063604</v>
      </c>
      <c r="L223" s="37"/>
      <c r="M223" s="4">
        <v>4.02E-2</v>
      </c>
      <c r="N223" s="4">
        <f t="shared" ref="N223:N231" si="111">(N222+1)*(M223+1)-1</f>
        <v>0.4534655601905917</v>
      </c>
      <c r="O223" s="40">
        <f t="shared" si="93"/>
        <v>145.34655601905919</v>
      </c>
      <c r="P223" s="37"/>
      <c r="Q223" s="4">
        <v>4.3507428267948622E-2</v>
      </c>
      <c r="R223" s="4">
        <f t="shared" si="109"/>
        <v>0.60585009140767676</v>
      </c>
      <c r="S223" s="41">
        <f t="shared" si="95"/>
        <v>160.58500914076774</v>
      </c>
    </row>
    <row r="224" spans="1:19" ht="13.5" x14ac:dyDescent="0.25">
      <c r="A224" s="2">
        <v>43616</v>
      </c>
      <c r="B224" s="49">
        <v>1988793.79</v>
      </c>
      <c r="C224" s="6">
        <v>7</v>
      </c>
      <c r="D224" s="37"/>
      <c r="E224" s="4">
        <v>-5.8200000000000002E-2</v>
      </c>
      <c r="F224" s="4">
        <f t="shared" si="110"/>
        <v>0.40512042168718154</v>
      </c>
      <c r="G224" s="40">
        <f t="shared" si="89"/>
        <v>140.51204216871818</v>
      </c>
      <c r="H224" s="37"/>
      <c r="I224" s="4">
        <v>-5.8099999999999999E-2</v>
      </c>
      <c r="J224" s="4">
        <f t="shared" si="104"/>
        <v>0.43803620641738106</v>
      </c>
      <c r="K224" s="40">
        <f t="shared" si="91"/>
        <v>143.80362064173809</v>
      </c>
      <c r="L224" s="37"/>
      <c r="M224" s="4">
        <v>-7.9699999999999993E-2</v>
      </c>
      <c r="N224" s="4">
        <f t="shared" si="111"/>
        <v>0.33762435504340149</v>
      </c>
      <c r="O224" s="40">
        <f t="shared" si="93"/>
        <v>133.76243550434017</v>
      </c>
      <c r="P224" s="37"/>
      <c r="Q224" s="4">
        <v>-5.5876995606986002E-2</v>
      </c>
      <c r="R224" s="4">
        <f t="shared" si="109"/>
        <v>0.51612001290461196</v>
      </c>
      <c r="S224" s="41">
        <f t="shared" si="95"/>
        <v>151.61200129046125</v>
      </c>
    </row>
    <row r="225" spans="1:19" ht="13.5" x14ac:dyDescent="0.25">
      <c r="A225" s="2">
        <v>43646</v>
      </c>
      <c r="B225" s="49">
        <v>2089791.62</v>
      </c>
      <c r="C225" s="6">
        <v>7</v>
      </c>
      <c r="D225" s="36">
        <f>(1+E223)*(1+E224)*(1+E225)-1</f>
        <v>1.497831206399991E-2</v>
      </c>
      <c r="E225" s="4">
        <v>5.0799999999999998E-2</v>
      </c>
      <c r="F225" s="4">
        <f t="shared" si="110"/>
        <v>0.47650053910889034</v>
      </c>
      <c r="G225" s="40">
        <f t="shared" si="89"/>
        <v>147.65005391088906</v>
      </c>
      <c r="H225" s="36">
        <f>(1+I223)*(1+I224)*(1+I225)-1</f>
        <v>1.7903060117999914E-2</v>
      </c>
      <c r="I225" s="4">
        <v>5.3100000000000001E-2</v>
      </c>
      <c r="J225" s="4">
        <f t="shared" si="104"/>
        <v>0.5143959289781439</v>
      </c>
      <c r="K225" s="40">
        <f t="shared" si="91"/>
        <v>151.43959289781438</v>
      </c>
      <c r="L225" s="36">
        <f>(1+M223)*(1+M224)*(1+M225)-1</f>
        <v>3.0433478983999951E-2</v>
      </c>
      <c r="M225" s="4">
        <v>7.6399999999999996E-2</v>
      </c>
      <c r="N225" s="4">
        <f t="shared" si="111"/>
        <v>0.43981885576871749</v>
      </c>
      <c r="O225" s="40">
        <f t="shared" si="93"/>
        <v>143.98188557687178</v>
      </c>
      <c r="P225" s="36">
        <f>(1+Q223)*(1+Q224)*(1+Q225)-1</f>
        <v>4.370309289877139E-2</v>
      </c>
      <c r="Q225" s="4">
        <v>5.9382624978721044E-2</v>
      </c>
      <c r="R225" s="4">
        <f t="shared" si="109"/>
        <v>0.60615119905366033</v>
      </c>
      <c r="S225" s="41">
        <f t="shared" si="95"/>
        <v>160.61511990536607</v>
      </c>
    </row>
    <row r="226" spans="1:19" ht="13.5" x14ac:dyDescent="0.25">
      <c r="A226" s="2">
        <v>43677</v>
      </c>
      <c r="B226" s="49">
        <v>2149148.41</v>
      </c>
      <c r="C226" s="6">
        <v>7</v>
      </c>
      <c r="D226" s="37"/>
      <c r="E226" s="4">
        <v>3.3999999999999998E-3</v>
      </c>
      <c r="F226" s="4">
        <f t="shared" si="110"/>
        <v>0.48152064094186064</v>
      </c>
      <c r="G226" s="40">
        <f t="shared" si="89"/>
        <v>148.1520640941861</v>
      </c>
      <c r="H226" s="37"/>
      <c r="I226" s="4">
        <v>3.7000000000000002E-3</v>
      </c>
      <c r="J226" s="4">
        <f t="shared" si="104"/>
        <v>0.5199991939153632</v>
      </c>
      <c r="K226" s="40">
        <f t="shared" si="91"/>
        <v>151.99991939153631</v>
      </c>
      <c r="L226" s="37"/>
      <c r="M226" s="4">
        <v>1.1900000000000001E-2</v>
      </c>
      <c r="N226" s="4">
        <f t="shared" si="111"/>
        <v>0.45695270015236522</v>
      </c>
      <c r="O226" s="40">
        <f t="shared" si="93"/>
        <v>145.69527001523656</v>
      </c>
      <c r="P226" s="37"/>
      <c r="Q226" s="4">
        <v>9.6280028924182748E-3</v>
      </c>
      <c r="R226" s="4">
        <f t="shared" si="109"/>
        <v>0.62161522744381004</v>
      </c>
      <c r="S226" s="41">
        <f t="shared" si="95"/>
        <v>162.16152274438105</v>
      </c>
    </row>
    <row r="227" spans="1:19" ht="13.5" x14ac:dyDescent="0.25">
      <c r="A227" s="2">
        <v>43708</v>
      </c>
      <c r="B227" s="49">
        <v>2067860.67</v>
      </c>
      <c r="C227" s="6">
        <v>7</v>
      </c>
      <c r="D227" s="37"/>
      <c r="E227" s="4">
        <v>-3.7499999999999999E-2</v>
      </c>
      <c r="F227" s="4">
        <f t="shared" si="110"/>
        <v>0.42596361690654083</v>
      </c>
      <c r="G227" s="40">
        <f t="shared" si="89"/>
        <v>142.59636169065413</v>
      </c>
      <c r="H227" s="37"/>
      <c r="I227" s="4">
        <v>-3.7100000000000001E-2</v>
      </c>
      <c r="J227" s="4">
        <f t="shared" si="104"/>
        <v>0.46360722382110309</v>
      </c>
      <c r="K227" s="40">
        <f t="shared" si="91"/>
        <v>146.36072238211031</v>
      </c>
      <c r="L227" s="37"/>
      <c r="M227" s="4">
        <v>-4.19E-2</v>
      </c>
      <c r="N227" s="4">
        <f t="shared" si="111"/>
        <v>0.39590638201598094</v>
      </c>
      <c r="O227" s="40">
        <f t="shared" si="93"/>
        <v>139.59063820159815</v>
      </c>
      <c r="P227" s="37"/>
      <c r="Q227" s="4">
        <v>-3.1128559491756969E-2</v>
      </c>
      <c r="R227" s="4">
        <f t="shared" si="109"/>
        <v>0.57113668136358631</v>
      </c>
      <c r="S227" s="41">
        <f t="shared" si="95"/>
        <v>157.11366813635868</v>
      </c>
    </row>
    <row r="228" spans="1:19" ht="13.5" x14ac:dyDescent="0.25">
      <c r="A228" s="2">
        <v>43738</v>
      </c>
      <c r="B228" s="49">
        <v>2107995.0299999998</v>
      </c>
      <c r="C228" s="6">
        <v>7</v>
      </c>
      <c r="D228" s="36">
        <f>(1+E226)*(1+E227)*(1+E228)-1</f>
        <v>-7.1519424999988424E-4</v>
      </c>
      <c r="E228" s="4">
        <v>3.4700000000000002E-2</v>
      </c>
      <c r="F228" s="4">
        <f t="shared" si="110"/>
        <v>0.47544455441319777</v>
      </c>
      <c r="G228" s="40">
        <f t="shared" si="89"/>
        <v>147.54445544131983</v>
      </c>
      <c r="H228" s="36">
        <f>(1+I226)*(1+I227)*(1+I228)-1</f>
        <v>1.5453270990000156E-3</v>
      </c>
      <c r="I228" s="4">
        <v>3.6299999999999999E-2</v>
      </c>
      <c r="J228" s="4">
        <f t="shared" si="104"/>
        <v>0.51673616604580919</v>
      </c>
      <c r="K228" s="40">
        <f t="shared" si="91"/>
        <v>151.67361660458093</v>
      </c>
      <c r="L228" s="36">
        <f>(1+M226)*(1+M227)*(1+M228)-1</f>
        <v>-8.3186746600005801E-4</v>
      </c>
      <c r="M228" s="4">
        <v>3.0599999999999999E-2</v>
      </c>
      <c r="N228" s="4">
        <f t="shared" si="111"/>
        <v>0.43862111730566999</v>
      </c>
      <c r="O228" s="40">
        <f t="shared" si="93"/>
        <v>143.86211173056705</v>
      </c>
      <c r="P228" s="36">
        <f>(1+Q226)*(1+Q227)*(1+Q228)-1</f>
        <v>6.1597793192125216E-4</v>
      </c>
      <c r="Q228" s="4">
        <v>2.2915811088295657E-2</v>
      </c>
      <c r="R228" s="4">
        <f t="shared" si="109"/>
        <v>0.60714055274760592</v>
      </c>
      <c r="S228" s="41">
        <f t="shared" si="95"/>
        <v>160.71405527476065</v>
      </c>
    </row>
    <row r="229" spans="1:19" ht="13.5" x14ac:dyDescent="0.25">
      <c r="A229" s="2">
        <v>43769</v>
      </c>
      <c r="B229" s="49">
        <v>2097896.41</v>
      </c>
      <c r="C229" s="6">
        <v>7</v>
      </c>
      <c r="D229" s="37"/>
      <c r="E229" s="4">
        <v>-4.7999999999999996E-3</v>
      </c>
      <c r="F229" s="4">
        <f t="shared" si="110"/>
        <v>0.46836242055201449</v>
      </c>
      <c r="G229" s="40">
        <f t="shared" si="89"/>
        <v>146.8362420552015</v>
      </c>
      <c r="H229" s="37"/>
      <c r="I229" s="4">
        <v>-4.3E-3</v>
      </c>
      <c r="J229" s="4">
        <f t="shared" si="104"/>
        <v>0.51021420053181221</v>
      </c>
      <c r="K229" s="40">
        <f t="shared" si="91"/>
        <v>151.02142005318123</v>
      </c>
      <c r="L229" s="37"/>
      <c r="M229" s="4">
        <v>1.1299999999999999E-2</v>
      </c>
      <c r="N229" s="4">
        <f t="shared" si="111"/>
        <v>0.45487753593122426</v>
      </c>
      <c r="O229" s="40">
        <f t="shared" si="93"/>
        <v>145.48775359312248</v>
      </c>
      <c r="P229" s="37"/>
      <c r="Q229" s="4">
        <v>1.6875434933889988E-2</v>
      </c>
      <c r="R229" s="4">
        <f t="shared" si="109"/>
        <v>0.63426174857511408</v>
      </c>
      <c r="S229" s="41">
        <f t="shared" si="95"/>
        <v>163.42617485751148</v>
      </c>
    </row>
    <row r="230" spans="1:19" ht="13.5" x14ac:dyDescent="0.25">
      <c r="A230" s="2">
        <v>43799</v>
      </c>
      <c r="B230" s="49">
        <v>2134853.16</v>
      </c>
      <c r="C230" s="6">
        <v>7</v>
      </c>
      <c r="D230" s="37"/>
      <c r="E230" s="4">
        <v>1.7600000000000001E-2</v>
      </c>
      <c r="F230" s="4">
        <f t="shared" si="110"/>
        <v>0.49420559915372997</v>
      </c>
      <c r="G230" s="40">
        <f t="shared" si="89"/>
        <v>149.42055991537305</v>
      </c>
      <c r="H230" s="37"/>
      <c r="I230" s="4">
        <v>1.7899999999999999E-2</v>
      </c>
      <c r="J230" s="4">
        <f t="shared" si="104"/>
        <v>0.53724703472133162</v>
      </c>
      <c r="K230" s="40">
        <f t="shared" si="91"/>
        <v>153.72470347213317</v>
      </c>
      <c r="L230" s="37"/>
      <c r="M230" s="4">
        <v>2.98E-2</v>
      </c>
      <c r="N230" s="4">
        <f t="shared" si="111"/>
        <v>0.49823288650197473</v>
      </c>
      <c r="O230" s="40">
        <f t="shared" si="93"/>
        <v>149.82328865019753</v>
      </c>
      <c r="P230" s="37"/>
      <c r="Q230" s="4">
        <v>3.7507402776864041E-3</v>
      </c>
      <c r="R230" s="4">
        <f t="shared" si="109"/>
        <v>0.64039143993977699</v>
      </c>
      <c r="S230" s="41">
        <f t="shared" si="95"/>
        <v>164.03914399397777</v>
      </c>
    </row>
    <row r="231" spans="1:19" ht="13.5" x14ac:dyDescent="0.25">
      <c r="A231" s="2">
        <v>43830</v>
      </c>
      <c r="B231" s="49">
        <v>2187525.81</v>
      </c>
      <c r="C231" s="6">
        <v>7</v>
      </c>
      <c r="D231" s="36">
        <f>(1+E229)*(1+E230)*(1+E231)-1</f>
        <v>3.7729593343999834E-2</v>
      </c>
      <c r="E231" s="4">
        <v>2.47E-2</v>
      </c>
      <c r="F231" s="4">
        <f t="shared" si="110"/>
        <v>0.53111247745282708</v>
      </c>
      <c r="G231" s="40">
        <f t="shared" si="89"/>
        <v>153.11124774528275</v>
      </c>
      <c r="H231" s="36">
        <f>(1+I229)*(1+I230)*(1+I231)-1</f>
        <v>4.0077333386000058E-2</v>
      </c>
      <c r="I231" s="4">
        <v>2.6200000000000001E-2</v>
      </c>
      <c r="J231" s="4">
        <f t="shared" si="104"/>
        <v>0.5775229070310306</v>
      </c>
      <c r="K231" s="40">
        <f t="shared" si="91"/>
        <v>157.75229070310306</v>
      </c>
      <c r="L231" s="36">
        <f>(1+M229)*(1+M230)*(1+M231)-1</f>
        <v>7.0701112394000232E-2</v>
      </c>
      <c r="M231" s="4">
        <v>2.81E-2</v>
      </c>
      <c r="N231" s="4">
        <f t="shared" si="111"/>
        <v>0.54033323061268024</v>
      </c>
      <c r="O231" s="40">
        <f t="shared" si="93"/>
        <v>154.03332306126808</v>
      </c>
      <c r="P231" s="36">
        <f>(1+Q229)*(1+Q230)*(1+Q231)-1</f>
        <v>4.4483700016059169E-2</v>
      </c>
      <c r="Q231" s="4">
        <v>2.331191818539402E-2</v>
      </c>
      <c r="R231" s="4">
        <f t="shared" si="109"/>
        <v>0.6786321109796738</v>
      </c>
      <c r="S231" s="41">
        <f t="shared" si="95"/>
        <v>167.86321109796745</v>
      </c>
    </row>
    <row r="232" spans="1:19" ht="13.5" x14ac:dyDescent="0.25">
      <c r="A232" s="2">
        <v>43861</v>
      </c>
      <c r="B232" s="49">
        <v>2124724.86</v>
      </c>
      <c r="C232" s="6">
        <v>7</v>
      </c>
      <c r="D232" s="37"/>
      <c r="E232" s="4">
        <v>-2.87E-2</v>
      </c>
      <c r="F232" s="4">
        <f t="shared" ref="F232:F237" si="112">(F231+1)*(E232+1)-1</f>
        <v>0.48716954934993106</v>
      </c>
      <c r="G232" s="40">
        <f t="shared" si="89"/>
        <v>148.71695493499314</v>
      </c>
      <c r="H232" s="37"/>
      <c r="I232" s="4">
        <v>-2.8199999999999999E-2</v>
      </c>
      <c r="J232" s="4">
        <f t="shared" si="104"/>
        <v>0.53303676105275555</v>
      </c>
      <c r="K232" s="40">
        <f t="shared" si="91"/>
        <v>153.30367610527554</v>
      </c>
      <c r="L232" s="37"/>
      <c r="M232" s="4">
        <v>-2.6100000000000002E-2</v>
      </c>
      <c r="N232" s="4">
        <f t="shared" ref="N232:N237" si="113">(N231+1)*(M232+1)-1</f>
        <v>0.50013053329368917</v>
      </c>
      <c r="O232" s="40">
        <f t="shared" si="93"/>
        <v>150.01305332936897</v>
      </c>
      <c r="P232" s="37"/>
      <c r="Q232" s="4">
        <v>-1.9846760967609733E-2</v>
      </c>
      <c r="R232" s="4">
        <f t="shared" si="109"/>
        <v>0.64531670072050606</v>
      </c>
      <c r="S232" s="41">
        <f t="shared" si="95"/>
        <v>164.53167007205067</v>
      </c>
    </row>
    <row r="233" spans="1:19" ht="13.5" x14ac:dyDescent="0.25">
      <c r="A233" s="2">
        <v>43890</v>
      </c>
      <c r="B233" s="49">
        <v>1973554.7</v>
      </c>
      <c r="C233" s="6">
        <v>7</v>
      </c>
      <c r="D233" s="37"/>
      <c r="E233" s="4">
        <v>-7.1099999999999997E-2</v>
      </c>
      <c r="F233" s="4">
        <f t="shared" si="112"/>
        <v>0.38143179439115116</v>
      </c>
      <c r="G233" s="40">
        <f t="shared" si="89"/>
        <v>138.14317943911513</v>
      </c>
      <c r="H233" s="37"/>
      <c r="I233" s="4">
        <v>-7.0900000000000005E-2</v>
      </c>
      <c r="J233" s="4">
        <f t="shared" si="104"/>
        <v>0.4243444546941153</v>
      </c>
      <c r="K233" s="40">
        <f t="shared" si="91"/>
        <v>142.43444546941151</v>
      </c>
      <c r="L233" s="37"/>
      <c r="M233" s="4">
        <v>-9.4899999999999998E-2</v>
      </c>
      <c r="N233" s="4">
        <f t="shared" si="113"/>
        <v>0.35776814568411819</v>
      </c>
      <c r="O233" s="40">
        <f t="shared" si="93"/>
        <v>135.77681456841185</v>
      </c>
      <c r="P233" s="37"/>
      <c r="Q233" s="4">
        <v>-0.10218434227898399</v>
      </c>
      <c r="R233" s="4">
        <f t="shared" si="109"/>
        <v>0.47719109581675312</v>
      </c>
      <c r="S233" s="41">
        <f t="shared" si="95"/>
        <v>147.71910958167538</v>
      </c>
    </row>
    <row r="234" spans="1:19" ht="13.5" x14ac:dyDescent="0.25">
      <c r="A234" s="2">
        <v>43921</v>
      </c>
      <c r="B234" s="49">
        <v>1594390.31</v>
      </c>
      <c r="C234" s="6">
        <v>7</v>
      </c>
      <c r="D234" s="36">
        <f>(1+E232)*(1+E233)*(1+E234)-1</f>
        <v>-0.27107984349699987</v>
      </c>
      <c r="E234" s="4">
        <v>-0.19209999999999999</v>
      </c>
      <c r="F234" s="4">
        <f t="shared" si="112"/>
        <v>0.11605874668861116</v>
      </c>
      <c r="G234" s="40">
        <f t="shared" si="89"/>
        <v>111.60587466886112</v>
      </c>
      <c r="H234" s="36">
        <f>(1+I232)*(1+I233)*(1+I234)-1</f>
        <v>-0.2694641116419999</v>
      </c>
      <c r="I234" s="4">
        <v>-0.19089999999999999</v>
      </c>
      <c r="J234" s="4">
        <f t="shared" si="104"/>
        <v>0.15243709829300878</v>
      </c>
      <c r="K234" s="40">
        <f t="shared" si="91"/>
        <v>115.24370982930087</v>
      </c>
      <c r="L234" s="36">
        <f>(1+M232)*(1+M233)*(1+M234)-1</f>
        <v>-0.29702218022500004</v>
      </c>
      <c r="M234" s="4">
        <v>-0.20250000000000001</v>
      </c>
      <c r="N234" s="4">
        <f t="shared" si="113"/>
        <v>8.282009618308428E-2</v>
      </c>
      <c r="O234" s="40">
        <f t="shared" si="93"/>
        <v>108.28200961830845</v>
      </c>
      <c r="P234" s="36">
        <f>(1+Q232)*(1+Q233)*(1+Q234)-1</f>
        <v>-0.24668152931529319</v>
      </c>
      <c r="Q234" s="4">
        <v>-0.1439532919833435</v>
      </c>
      <c r="R234" s="4">
        <f t="shared" si="109"/>
        <v>0.2645445746854489</v>
      </c>
      <c r="S234" s="41">
        <f t="shared" si="95"/>
        <v>126.45445746854496</v>
      </c>
    </row>
    <row r="235" spans="1:19" ht="13.5" x14ac:dyDescent="0.25">
      <c r="A235" s="2">
        <v>43951</v>
      </c>
      <c r="B235" s="49">
        <v>1765307.77</v>
      </c>
      <c r="C235" s="6">
        <v>7</v>
      </c>
      <c r="D235" s="37"/>
      <c r="E235" s="4">
        <v>0.1072</v>
      </c>
      <c r="F235" s="4">
        <f t="shared" si="112"/>
        <v>0.23570024433363024</v>
      </c>
      <c r="G235" s="40">
        <f t="shared" si="89"/>
        <v>123.57002443336303</v>
      </c>
      <c r="H235" s="37"/>
      <c r="I235" s="4">
        <v>0.10780000000000001</v>
      </c>
      <c r="J235" s="4">
        <f t="shared" si="104"/>
        <v>0.27666981748899522</v>
      </c>
      <c r="K235" s="40">
        <f t="shared" si="91"/>
        <v>127.66698174889952</v>
      </c>
      <c r="L235" s="37"/>
      <c r="M235" s="4">
        <v>0.14180000000000001</v>
      </c>
      <c r="N235" s="4">
        <f t="shared" si="113"/>
        <v>0.23636398582184559</v>
      </c>
      <c r="O235" s="40">
        <f t="shared" si="93"/>
        <v>123.63639858218458</v>
      </c>
      <c r="P235" s="37"/>
      <c r="Q235" s="4">
        <v>0.101624287779573</v>
      </c>
      <c r="R235" s="4">
        <f t="shared" si="109"/>
        <v>0.39305301645338075</v>
      </c>
      <c r="S235" s="41">
        <f t="shared" si="95"/>
        <v>139.30530164533815</v>
      </c>
    </row>
    <row r="236" spans="1:19" ht="13.5" x14ac:dyDescent="0.25">
      <c r="A236" s="2">
        <v>43982</v>
      </c>
      <c r="B236" s="49">
        <v>1853994.24</v>
      </c>
      <c r="C236" s="6">
        <v>7</v>
      </c>
      <c r="D236" s="37"/>
      <c r="E236" s="4">
        <v>5.0200000000000002E-2</v>
      </c>
      <c r="F236" s="4">
        <f t="shared" si="112"/>
        <v>0.29773239659917849</v>
      </c>
      <c r="G236" s="40">
        <f t="shared" si="89"/>
        <v>129.77323965991786</v>
      </c>
      <c r="H236" s="37"/>
      <c r="I236" s="4">
        <v>5.0500000000000003E-2</v>
      </c>
      <c r="J236" s="4">
        <f t="shared" si="104"/>
        <v>0.34114164327218943</v>
      </c>
      <c r="K236" s="40">
        <f t="shared" si="91"/>
        <v>134.11416432721893</v>
      </c>
      <c r="L236" s="37"/>
      <c r="M236" s="4">
        <v>7.3099999999999998E-2</v>
      </c>
      <c r="N236" s="4">
        <f t="shared" si="113"/>
        <v>0.32674219318542241</v>
      </c>
      <c r="O236" s="40">
        <f t="shared" si="93"/>
        <v>132.67421931854227</v>
      </c>
      <c r="P236" s="37"/>
      <c r="Q236" s="4">
        <v>6.1525397560598938E-2</v>
      </c>
      <c r="R236" s="4">
        <f t="shared" si="109"/>
        <v>0.47876115711366651</v>
      </c>
      <c r="S236" s="41">
        <f t="shared" si="95"/>
        <v>147.87611571136674</v>
      </c>
    </row>
    <row r="237" spans="1:19" ht="13.5" x14ac:dyDescent="0.25">
      <c r="A237" s="2">
        <v>44012</v>
      </c>
      <c r="B237" s="49">
        <v>1764182.05</v>
      </c>
      <c r="C237" s="6">
        <v>6</v>
      </c>
      <c r="D237" s="36">
        <f>(1+E235)*(1+E236)*(1+E237)-1</f>
        <v>0.19440909516799998</v>
      </c>
      <c r="E237" s="4">
        <v>2.7199999999999998E-2</v>
      </c>
      <c r="F237" s="4">
        <f t="shared" si="112"/>
        <v>0.33303071778667603</v>
      </c>
      <c r="G237" s="40">
        <f t="shared" si="89"/>
        <v>133.3030717786676</v>
      </c>
      <c r="H237" s="36">
        <f>(1+I235)*(1+I236)*(1+I237)-1</f>
        <v>0.19691060114999992</v>
      </c>
      <c r="I237" s="4">
        <v>2.8500000000000001E-2</v>
      </c>
      <c r="J237" s="4">
        <f t="shared" si="104"/>
        <v>0.37936418010544681</v>
      </c>
      <c r="K237" s="40">
        <f t="shared" si="91"/>
        <v>137.93641801054466</v>
      </c>
      <c r="L237" s="36">
        <f>(1+M235)*(1+M236)*(1+M237)-1</f>
        <v>0.24070392630799975</v>
      </c>
      <c r="M237" s="4">
        <v>1.26E-2</v>
      </c>
      <c r="N237" s="4">
        <f t="shared" si="113"/>
        <v>0.34345914481955875</v>
      </c>
      <c r="O237" s="40">
        <f t="shared" si="93"/>
        <v>134.3459144819559</v>
      </c>
      <c r="P237" s="36">
        <f>(1+Q235)*(1+Q236)*(1+Q237)-1</f>
        <v>0.17812739178501547</v>
      </c>
      <c r="Q237" s="4">
        <v>7.4612755435967681E-3</v>
      </c>
      <c r="R237" s="4">
        <f t="shared" si="109"/>
        <v>0.48979460157005961</v>
      </c>
      <c r="S237" s="41">
        <f t="shared" si="95"/>
        <v>148.97946015700603</v>
      </c>
    </row>
    <row r="238" spans="1:19" ht="13.5" x14ac:dyDescent="0.25">
      <c r="A238" s="2">
        <v>44043</v>
      </c>
      <c r="B238" s="49">
        <v>1625924.85</v>
      </c>
      <c r="C238" s="6">
        <v>5</v>
      </c>
      <c r="D238" s="37"/>
      <c r="E238" s="4">
        <v>3.1399999999999997E-2</v>
      </c>
      <c r="F238" s="4">
        <f t="shared" ref="F238:F243" si="114">(F237+1)*(E238+1)-1</f>
        <v>0.37488788232517778</v>
      </c>
      <c r="G238" s="40">
        <f t="shared" ref="G238:G300" si="115">G237*(1+E238)</f>
        <v>137.48878823251778</v>
      </c>
      <c r="H238" s="37"/>
      <c r="I238" s="4">
        <v>3.2000000000000001E-2</v>
      </c>
      <c r="J238" s="4">
        <f t="shared" ref="J238:J269" si="116">(J237+1)*(I238+1)-1</f>
        <v>0.42350383386882107</v>
      </c>
      <c r="K238" s="40">
        <f t="shared" ref="K238:K300" si="117">K237*(1+I238)</f>
        <v>142.3503833868821</v>
      </c>
      <c r="L238" s="37"/>
      <c r="M238" s="4">
        <v>4.6100000000000002E-2</v>
      </c>
      <c r="N238" s="4">
        <f t="shared" ref="N238:N243" si="118">(N237+1)*(M238+1)-1</f>
        <v>0.40539261139574045</v>
      </c>
      <c r="O238" s="40">
        <f t="shared" ref="O238:O300" si="119">O237*(1+M238)</f>
        <v>140.53926113957408</v>
      </c>
      <c r="P238" s="37"/>
      <c r="Q238" s="4">
        <v>2.7169833111970965E-2</v>
      </c>
      <c r="R238" s="4">
        <f t="shared" si="109"/>
        <v>0.53027207226583339</v>
      </c>
      <c r="S238" s="41">
        <f t="shared" ref="S238:S300" si="120">S237*(1+Q238)</f>
        <v>153.02720722658341</v>
      </c>
    </row>
    <row r="239" spans="1:19" ht="13.5" x14ac:dyDescent="0.25">
      <c r="A239" s="2">
        <v>44074</v>
      </c>
      <c r="B239" s="49">
        <v>1608894.29</v>
      </c>
      <c r="C239" s="6">
        <v>5</v>
      </c>
      <c r="D239" s="37"/>
      <c r="E239" s="4">
        <v>-1.0500000000000001E-2</v>
      </c>
      <c r="F239" s="4">
        <f t="shared" si="114"/>
        <v>0.36045155956076358</v>
      </c>
      <c r="G239" s="40">
        <f t="shared" si="115"/>
        <v>136.04515595607634</v>
      </c>
      <c r="H239" s="37"/>
      <c r="I239" s="4">
        <v>-1.0200000000000001E-2</v>
      </c>
      <c r="J239" s="4">
        <f t="shared" si="116"/>
        <v>0.40898409476335917</v>
      </c>
      <c r="K239" s="40">
        <f t="shared" si="117"/>
        <v>140.8984094763359</v>
      </c>
      <c r="L239" s="37"/>
      <c r="M239" s="4">
        <v>3.5099999999999999E-2</v>
      </c>
      <c r="N239" s="4">
        <f t="shared" si="118"/>
        <v>0.45472189205573077</v>
      </c>
      <c r="O239" s="40">
        <f t="shared" si="119"/>
        <v>145.47218920557313</v>
      </c>
      <c r="P239" s="37"/>
      <c r="Q239" s="4">
        <v>2.9669711876317617E-2</v>
      </c>
      <c r="R239" s="4">
        <f t="shared" si="109"/>
        <v>0.57567480374233626</v>
      </c>
      <c r="S239" s="41">
        <f t="shared" si="120"/>
        <v>157.5674803742337</v>
      </c>
    </row>
    <row r="240" spans="1:19" ht="13.5" x14ac:dyDescent="0.25">
      <c r="A240" s="2">
        <v>44104</v>
      </c>
      <c r="B240" s="49">
        <v>1573495.52</v>
      </c>
      <c r="C240" s="6">
        <v>5</v>
      </c>
      <c r="D240" s="36">
        <f>(1+E238)*(1+E239)*(1+E240)-1</f>
        <v>-1.8822465999999149E-3</v>
      </c>
      <c r="E240" s="4">
        <v>-2.1999999999999999E-2</v>
      </c>
      <c r="F240" s="4">
        <f t="shared" si="114"/>
        <v>0.33052162525042683</v>
      </c>
      <c r="G240" s="40">
        <f t="shared" si="115"/>
        <v>133.05216252504266</v>
      </c>
      <c r="H240" s="36">
        <f>(1+I238)*(1+I239)*(1+I240)-1</f>
        <v>2.2694911999998624E-4</v>
      </c>
      <c r="I240" s="4">
        <v>-2.0799999999999999E-2</v>
      </c>
      <c r="J240" s="4">
        <f t="shared" si="116"/>
        <v>0.37967722559228134</v>
      </c>
      <c r="K240" s="40">
        <f t="shared" si="117"/>
        <v>137.96772255922809</v>
      </c>
      <c r="L240" s="36">
        <f>(1+M238)*(1+M239)*(1+M240)-1</f>
        <v>4.762652142499979E-2</v>
      </c>
      <c r="M240" s="4">
        <v>-3.2500000000000001E-2</v>
      </c>
      <c r="N240" s="4">
        <f t="shared" si="118"/>
        <v>0.40744343056391963</v>
      </c>
      <c r="O240" s="40">
        <f t="shared" si="119"/>
        <v>140.74434305639201</v>
      </c>
      <c r="P240" s="36">
        <f>(1+Q238)*(1+Q239)*(1+Q240)-1</f>
        <v>1.4869781139920324E-2</v>
      </c>
      <c r="Q240" s="4">
        <v>-4.0444438377854497E-2</v>
      </c>
      <c r="R240" s="4">
        <f t="shared" si="109"/>
        <v>0.51194752123884135</v>
      </c>
      <c r="S240" s="41">
        <f t="shared" si="120"/>
        <v>151.1947521238842</v>
      </c>
    </row>
    <row r="241" spans="1:19" ht="13.5" x14ac:dyDescent="0.25">
      <c r="A241" s="2">
        <v>44135</v>
      </c>
      <c r="B241" s="49">
        <v>1615400.94</v>
      </c>
      <c r="C241" s="6">
        <v>5</v>
      </c>
      <c r="D241" s="37"/>
      <c r="E241" s="4">
        <v>2.6599999999999999E-2</v>
      </c>
      <c r="F241" s="4">
        <f t="shared" si="114"/>
        <v>0.36591350048208815</v>
      </c>
      <c r="G241" s="40">
        <f t="shared" si="115"/>
        <v>136.5913500482088</v>
      </c>
      <c r="H241" s="37"/>
      <c r="I241" s="4">
        <v>2.7099999999999999E-2</v>
      </c>
      <c r="J241" s="4">
        <f t="shared" si="116"/>
        <v>0.417066478405832</v>
      </c>
      <c r="K241" s="40">
        <f t="shared" si="117"/>
        <v>141.70664784058317</v>
      </c>
      <c r="L241" s="37"/>
      <c r="M241" s="4">
        <v>2.1700000000000001E-2</v>
      </c>
      <c r="N241" s="4">
        <f t="shared" si="118"/>
        <v>0.43798495300715667</v>
      </c>
      <c r="O241" s="40">
        <f t="shared" si="119"/>
        <v>143.79849530071573</v>
      </c>
      <c r="P241" s="37"/>
      <c r="Q241" s="4">
        <v>2.98E-2</v>
      </c>
      <c r="R241" s="4">
        <f t="shared" si="109"/>
        <v>0.55700355737175888</v>
      </c>
      <c r="S241" s="41">
        <f t="shared" si="120"/>
        <v>155.70035573717595</v>
      </c>
    </row>
    <row r="242" spans="1:19" ht="13.5" x14ac:dyDescent="0.25">
      <c r="A242" s="2">
        <v>44165</v>
      </c>
      <c r="B242" s="49">
        <v>1819893.1</v>
      </c>
      <c r="C242" s="6">
        <v>5</v>
      </c>
      <c r="D242" s="37"/>
      <c r="E242" s="4">
        <v>0.12659999999999999</v>
      </c>
      <c r="F242" s="4">
        <f t="shared" si="114"/>
        <v>0.53883814964312049</v>
      </c>
      <c r="G242" s="40">
        <f t="shared" si="115"/>
        <v>153.88381496431202</v>
      </c>
      <c r="H242" s="37"/>
      <c r="I242" s="4">
        <v>0.12690000000000001</v>
      </c>
      <c r="J242" s="4">
        <f t="shared" si="116"/>
        <v>0.5968922145155322</v>
      </c>
      <c r="K242" s="40">
        <f t="shared" si="117"/>
        <v>159.68922145155318</v>
      </c>
      <c r="L242" s="37"/>
      <c r="M242" s="4">
        <v>0.14280000000000001</v>
      </c>
      <c r="N242" s="4">
        <f t="shared" si="118"/>
        <v>0.6433292042965788</v>
      </c>
      <c r="O242" s="40">
        <f t="shared" si="119"/>
        <v>164.33292042965795</v>
      </c>
      <c r="P242" s="37"/>
      <c r="Q242" s="4">
        <v>0.1061</v>
      </c>
      <c r="R242" s="4">
        <f t="shared" si="109"/>
        <v>0.72220163480890265</v>
      </c>
      <c r="S242" s="41">
        <f t="shared" si="120"/>
        <v>172.22016348089033</v>
      </c>
    </row>
    <row r="243" spans="1:19" ht="13.5" x14ac:dyDescent="0.25">
      <c r="A243" s="2">
        <v>44196</v>
      </c>
      <c r="B243" s="49">
        <v>1864654.14</v>
      </c>
      <c r="C243" s="6">
        <v>5</v>
      </c>
      <c r="D243" s="36">
        <f>(1+E241)*(1+E242)*(1+E243)-1</f>
        <v>0.18305295712400005</v>
      </c>
      <c r="E243" s="4">
        <v>2.29E-2</v>
      </c>
      <c r="F243" s="4">
        <f t="shared" si="114"/>
        <v>0.57407754326994787</v>
      </c>
      <c r="G243" s="40">
        <f t="shared" si="115"/>
        <v>157.40775432699476</v>
      </c>
      <c r="H243" s="36">
        <f>(1+I241)*(1+I242)*(1+I243)-1</f>
        <v>0.18544901355800003</v>
      </c>
      <c r="I243" s="4">
        <v>2.4199999999999999E-2</v>
      </c>
      <c r="J243" s="4">
        <f t="shared" si="116"/>
        <v>0.63553700610680819</v>
      </c>
      <c r="K243" s="40">
        <f t="shared" si="117"/>
        <v>163.55370061068078</v>
      </c>
      <c r="L243" s="36">
        <f>(1+M241)*(1+M242)*(1+M243)-1</f>
        <v>0.24372619915200011</v>
      </c>
      <c r="M243" s="4">
        <v>6.5199999999999994E-2</v>
      </c>
      <c r="N243" s="4">
        <f t="shared" si="118"/>
        <v>0.75047426841671561</v>
      </c>
      <c r="O243" s="40">
        <f t="shared" si="119"/>
        <v>175.04742684167164</v>
      </c>
      <c r="P243" s="36">
        <f>(1+Q241)*(1+Q242)*(1+Q243)-1</f>
        <v>0.1974956493140001</v>
      </c>
      <c r="Q243" s="4">
        <v>5.1299999999999998E-2</v>
      </c>
      <c r="R243" s="4">
        <f t="shared" si="109"/>
        <v>0.81055057867459923</v>
      </c>
      <c r="S243" s="41">
        <f t="shared" si="120"/>
        <v>181.05505786745999</v>
      </c>
    </row>
    <row r="244" spans="1:19" ht="13.5" x14ac:dyDescent="0.25">
      <c r="A244" s="2">
        <v>44227</v>
      </c>
      <c r="B244" s="49">
        <v>1775654.41</v>
      </c>
      <c r="C244" s="6">
        <v>5</v>
      </c>
      <c r="D244" s="37"/>
      <c r="E244" s="4">
        <v>3.5000000000000001E-3</v>
      </c>
      <c r="F244" s="4">
        <f t="shared" ref="F244:F249" si="121">(F243+1)*(E244+1)-1</f>
        <v>0.57958681467139272</v>
      </c>
      <c r="G244" s="40">
        <f t="shared" si="115"/>
        <v>157.95868146713926</v>
      </c>
      <c r="H244" s="37"/>
      <c r="I244" s="4">
        <v>4.0000000000000001E-3</v>
      </c>
      <c r="J244" s="4">
        <f t="shared" si="116"/>
        <v>0.6420791541312354</v>
      </c>
      <c r="K244" s="40">
        <f t="shared" si="117"/>
        <v>164.20791541312352</v>
      </c>
      <c r="L244" s="37"/>
      <c r="M244" s="4">
        <v>1.4999999999999999E-2</v>
      </c>
      <c r="N244" s="4">
        <f t="shared" ref="N244:N249" si="122">(N243+1)*(M244+1)-1</f>
        <v>0.77673138244296624</v>
      </c>
      <c r="O244" s="40">
        <f t="shared" si="119"/>
        <v>177.67313824429669</v>
      </c>
      <c r="P244" s="37"/>
      <c r="Q244" s="4">
        <v>-1.1999999999999999E-3</v>
      </c>
      <c r="R244" s="4">
        <f t="shared" si="109"/>
        <v>0.80837791798018976</v>
      </c>
      <c r="S244" s="41">
        <f t="shared" si="120"/>
        <v>180.83779179801905</v>
      </c>
    </row>
    <row r="245" spans="1:19" ht="13.5" x14ac:dyDescent="0.25">
      <c r="A245" s="2">
        <v>44255</v>
      </c>
      <c r="B245" s="49">
        <v>862500.42</v>
      </c>
      <c r="C245" s="6">
        <v>4</v>
      </c>
      <c r="D245" s="37"/>
      <c r="E245" s="4">
        <v>6.0499999999999998E-2</v>
      </c>
      <c r="F245" s="4">
        <f t="shared" si="121"/>
        <v>0.67515181695901205</v>
      </c>
      <c r="G245" s="40">
        <f t="shared" si="115"/>
        <v>167.51518169590119</v>
      </c>
      <c r="H245" s="37"/>
      <c r="I245" s="4">
        <v>6.0499999999999998E-2</v>
      </c>
      <c r="J245" s="4">
        <f t="shared" si="116"/>
        <v>0.74142494295617523</v>
      </c>
      <c r="K245" s="40">
        <f t="shared" si="117"/>
        <v>174.1424942956175</v>
      </c>
      <c r="L245" s="37"/>
      <c r="M245" s="4">
        <v>6.8000000000000005E-2</v>
      </c>
      <c r="N245" s="4">
        <f t="shared" si="122"/>
        <v>0.89754911644908808</v>
      </c>
      <c r="O245" s="40">
        <f t="shared" si="119"/>
        <v>189.75491164490887</v>
      </c>
      <c r="P245" s="37"/>
      <c r="Q245" s="4">
        <v>4.3700000000000003E-2</v>
      </c>
      <c r="R245" s="4">
        <f t="shared" si="109"/>
        <v>0.8874040329959243</v>
      </c>
      <c r="S245" s="41">
        <f t="shared" si="120"/>
        <v>188.74040329959249</v>
      </c>
    </row>
    <row r="246" spans="1:19" ht="13.5" x14ac:dyDescent="0.25">
      <c r="A246" s="2">
        <v>44286</v>
      </c>
      <c r="B246" s="49">
        <v>1992633.97</v>
      </c>
      <c r="C246" s="6">
        <v>5</v>
      </c>
      <c r="D246" s="36">
        <f>(1+E244)*(1+E245)*(1+E246)-1</f>
        <v>0.12934150910000008</v>
      </c>
      <c r="E246" s="4">
        <v>6.1199999999999997E-2</v>
      </c>
      <c r="F246" s="4">
        <f t="shared" si="121"/>
        <v>0.77767110815690343</v>
      </c>
      <c r="G246" s="40">
        <f t="shared" si="115"/>
        <v>177.76711081569033</v>
      </c>
      <c r="H246" s="36">
        <f>(1+I244)*(1+I245)*(1+I246)-1</f>
        <v>0.13118190080000014</v>
      </c>
      <c r="I246" s="4">
        <v>6.2399999999999997E-2</v>
      </c>
      <c r="J246" s="4">
        <f t="shared" si="116"/>
        <v>0.85008985939664061</v>
      </c>
      <c r="K246" s="40">
        <f t="shared" si="117"/>
        <v>185.00898593966403</v>
      </c>
      <c r="L246" s="36">
        <f>(1+M244)*(1+M245)*(1+M246)-1</f>
        <v>0.13464373399999996</v>
      </c>
      <c r="M246" s="4">
        <v>4.6699999999999998E-2</v>
      </c>
      <c r="N246" s="4">
        <f t="shared" si="122"/>
        <v>0.98616466018726046</v>
      </c>
      <c r="O246" s="40">
        <f t="shared" si="119"/>
        <v>198.6164660187261</v>
      </c>
      <c r="P246" s="36">
        <f>(1+Q244)*(1+Q245)*(1+Q246)-1</f>
        <v>0.11260428078799989</v>
      </c>
      <c r="Q246" s="4">
        <v>6.7299999999999999E-2</v>
      </c>
      <c r="R246" s="4">
        <f t="shared" si="109"/>
        <v>1.0144263244165499</v>
      </c>
      <c r="S246" s="41">
        <f t="shared" si="120"/>
        <v>201.44263244165504</v>
      </c>
    </row>
    <row r="247" spans="1:19" ht="13.5" x14ac:dyDescent="0.25">
      <c r="A247" s="2">
        <v>44316</v>
      </c>
      <c r="B247" s="49">
        <v>2074506.91</v>
      </c>
      <c r="C247" s="6">
        <v>5</v>
      </c>
      <c r="D247" s="37"/>
      <c r="E247" s="4">
        <v>3.5099999999999999E-2</v>
      </c>
      <c r="F247" s="4">
        <f t="shared" si="121"/>
        <v>0.84006736405321059</v>
      </c>
      <c r="G247" s="40">
        <f t="shared" si="115"/>
        <v>184.00673640532105</v>
      </c>
      <c r="H247" s="37"/>
      <c r="I247" s="4">
        <v>3.56E-2</v>
      </c>
      <c r="J247" s="4">
        <f t="shared" si="116"/>
        <v>0.91595305839116126</v>
      </c>
      <c r="K247" s="40">
        <f t="shared" si="117"/>
        <v>191.59530583911609</v>
      </c>
      <c r="L247" s="37"/>
      <c r="M247" s="4">
        <v>4.4999999999999998E-2</v>
      </c>
      <c r="N247" s="4">
        <f t="shared" si="122"/>
        <v>1.075542069895687</v>
      </c>
      <c r="O247" s="40">
        <f t="shared" si="119"/>
        <v>207.55420698956877</v>
      </c>
      <c r="P247" s="37"/>
      <c r="Q247" s="4">
        <v>4.3999999999999997E-2</v>
      </c>
      <c r="R247" s="4">
        <f t="shared" si="109"/>
        <v>1.103061082690878</v>
      </c>
      <c r="S247" s="41">
        <f t="shared" si="120"/>
        <v>210.30610826908787</v>
      </c>
    </row>
    <row r="248" spans="1:19" ht="13.5" x14ac:dyDescent="0.25">
      <c r="A248" s="2">
        <v>44347</v>
      </c>
      <c r="B248" s="49">
        <v>2095293.23</v>
      </c>
      <c r="C248" s="6">
        <v>5</v>
      </c>
      <c r="D248" s="37"/>
      <c r="E248" s="4">
        <v>0.01</v>
      </c>
      <c r="F248" s="4">
        <f t="shared" si="121"/>
        <v>0.8584680376937428</v>
      </c>
      <c r="G248" s="40">
        <f t="shared" si="115"/>
        <v>185.84680376937428</v>
      </c>
      <c r="H248" s="37"/>
      <c r="I248" s="4">
        <v>1.0200000000000001E-2</v>
      </c>
      <c r="J248" s="4">
        <f t="shared" si="116"/>
        <v>0.93549577958675112</v>
      </c>
      <c r="K248" s="40">
        <f t="shared" si="117"/>
        <v>193.54957795867509</v>
      </c>
      <c r="L248" s="37"/>
      <c r="M248" s="4">
        <v>2E-3</v>
      </c>
      <c r="N248" s="4">
        <f t="shared" si="122"/>
        <v>1.0796931540354784</v>
      </c>
      <c r="O248" s="40">
        <f t="shared" si="119"/>
        <v>207.96931540354791</v>
      </c>
      <c r="P248" s="37"/>
      <c r="Q248" s="4">
        <v>1.1599999999999999E-2</v>
      </c>
      <c r="R248" s="4">
        <f t="shared" si="109"/>
        <v>1.1274565912500925</v>
      </c>
      <c r="S248" s="41">
        <f t="shared" si="120"/>
        <v>212.7456591250093</v>
      </c>
    </row>
    <row r="249" spans="1:19" ht="13.5" x14ac:dyDescent="0.25">
      <c r="A249" s="2">
        <v>44377</v>
      </c>
      <c r="B249" s="49">
        <v>2052850.75</v>
      </c>
      <c r="C249" s="6">
        <v>5</v>
      </c>
      <c r="D249" s="36">
        <f>(1+E247)*(1+E248)*(1+E249)-1</f>
        <v>2.4228344700000015E-2</v>
      </c>
      <c r="E249" s="4">
        <v>-2.0299999999999999E-2</v>
      </c>
      <c r="F249" s="4">
        <f t="shared" si="121"/>
        <v>0.82074113652855996</v>
      </c>
      <c r="G249" s="40">
        <f t="shared" si="115"/>
        <v>182.07411365285597</v>
      </c>
      <c r="H249" s="36">
        <f>(1+I247)*(1+I248)*(1+I249)-1</f>
        <v>2.6181404408000208E-2</v>
      </c>
      <c r="I249" s="4">
        <v>-1.9099999999999999E-2</v>
      </c>
      <c r="J249" s="4">
        <f t="shared" si="116"/>
        <v>0.89852781019664407</v>
      </c>
      <c r="K249" s="40">
        <f t="shared" si="117"/>
        <v>189.85278101966441</v>
      </c>
      <c r="L249" s="36">
        <f>(1+M247)*(1+M248)*(1+M249)-1</f>
        <v>3.6409681999999943E-2</v>
      </c>
      <c r="M249" s="4">
        <v>-1.0200000000000001E-2</v>
      </c>
      <c r="N249" s="4">
        <f t="shared" si="122"/>
        <v>1.0584802838643164</v>
      </c>
      <c r="O249" s="40">
        <f t="shared" si="119"/>
        <v>205.84802838643174</v>
      </c>
      <c r="P249" s="36">
        <f>(1+Q247)*(1+Q248)*(1+Q249)-1</f>
        <v>3.4354525760000199E-2</v>
      </c>
      <c r="Q249" s="4">
        <v>-2.06E-2</v>
      </c>
      <c r="R249" s="4">
        <f t="shared" si="109"/>
        <v>1.0836309854703408</v>
      </c>
      <c r="S249" s="41">
        <f t="shared" si="120"/>
        <v>208.36309854703413</v>
      </c>
    </row>
    <row r="250" spans="1:19" ht="13.5" x14ac:dyDescent="0.25">
      <c r="A250" s="2">
        <v>44408</v>
      </c>
      <c r="B250" s="49">
        <v>953053.78</v>
      </c>
      <c r="C250" s="6">
        <v>5</v>
      </c>
      <c r="D250" s="37"/>
      <c r="E250" s="4">
        <v>8.0999999999999996E-3</v>
      </c>
      <c r="F250" s="4">
        <f t="shared" ref="F250:F255" si="123">(F249+1)*(E250+1)-1</f>
        <v>0.83548913973444128</v>
      </c>
      <c r="G250" s="40">
        <f t="shared" si="115"/>
        <v>183.54891397344412</v>
      </c>
      <c r="H250" s="37"/>
      <c r="I250" s="4">
        <v>9.1000000000000004E-3</v>
      </c>
      <c r="J250" s="4">
        <f t="shared" si="116"/>
        <v>0.91580441326943385</v>
      </c>
      <c r="K250" s="40">
        <f t="shared" si="117"/>
        <v>191.58044132694337</v>
      </c>
      <c r="L250" s="37"/>
      <c r="M250" s="4">
        <v>3.5000000000000001E-3</v>
      </c>
      <c r="N250" s="4">
        <f t="shared" ref="N250:N255" si="124">(N249+1)*(M250+1)-1</f>
        <v>1.0656849648578417</v>
      </c>
      <c r="O250" s="40">
        <f t="shared" si="119"/>
        <v>206.56849648578427</v>
      </c>
      <c r="P250" s="37"/>
      <c r="Q250" s="4">
        <v>2.3020067718226844E-3</v>
      </c>
      <c r="R250" s="4">
        <f t="shared" si="109"/>
        <v>1.0884275181088729</v>
      </c>
      <c r="S250" s="41">
        <f t="shared" si="120"/>
        <v>208.84275181088736</v>
      </c>
    </row>
    <row r="251" spans="1:19" ht="13.5" x14ac:dyDescent="0.25">
      <c r="A251" s="2">
        <v>44439</v>
      </c>
      <c r="B251" s="49">
        <v>966381.56</v>
      </c>
      <c r="C251" s="6">
        <v>5</v>
      </c>
      <c r="D251" s="37"/>
      <c r="E251" s="4">
        <v>1.5100000000000001E-2</v>
      </c>
      <c r="F251" s="4">
        <f t="shared" si="123"/>
        <v>0.86320502574443103</v>
      </c>
      <c r="G251" s="40">
        <f t="shared" si="115"/>
        <v>186.32050257444311</v>
      </c>
      <c r="H251" s="37"/>
      <c r="I251" s="4">
        <v>1.5100000000000001E-2</v>
      </c>
      <c r="J251" s="4">
        <f t="shared" si="116"/>
        <v>0.94473305990980205</v>
      </c>
      <c r="K251" s="40">
        <f t="shared" si="117"/>
        <v>194.47330599098021</v>
      </c>
      <c r="L251" s="37"/>
      <c r="M251" s="4">
        <v>1.95E-2</v>
      </c>
      <c r="N251" s="4">
        <f t="shared" si="124"/>
        <v>1.1059658216725698</v>
      </c>
      <c r="O251" s="40">
        <f t="shared" si="119"/>
        <v>210.59658216725708</v>
      </c>
      <c r="P251" s="37"/>
      <c r="Q251" s="4">
        <v>9.6606416396312067E-3</v>
      </c>
      <c r="R251" s="4">
        <f t="shared" si="109"/>
        <v>1.108603067951667</v>
      </c>
      <c r="S251" s="41">
        <f t="shared" si="120"/>
        <v>210.86030679516679</v>
      </c>
    </row>
    <row r="252" spans="1:19" ht="13.5" x14ac:dyDescent="0.25">
      <c r="A252" s="2">
        <v>44469</v>
      </c>
      <c r="B252" s="49">
        <v>2060109.75</v>
      </c>
      <c r="C252" s="6">
        <v>6</v>
      </c>
      <c r="D252" s="36">
        <f>(1+E250)*(1+E251)*(1+E252)-1</f>
        <v>-2.0560832880001101E-3</v>
      </c>
      <c r="E252" s="4">
        <v>-2.4799999999999999E-2</v>
      </c>
      <c r="F252" s="4">
        <f t="shared" si="123"/>
        <v>0.81699754110596912</v>
      </c>
      <c r="G252" s="40">
        <f t="shared" si="115"/>
        <v>181.69975411059693</v>
      </c>
      <c r="H252" s="36">
        <f>(1+I250)*(1+I251)*(1+I252)-1</f>
        <v>1.630471239999487E-4</v>
      </c>
      <c r="I252" s="4">
        <v>-2.3599999999999999E-2</v>
      </c>
      <c r="J252" s="4">
        <f t="shared" si="116"/>
        <v>0.8988373596959307</v>
      </c>
      <c r="K252" s="40">
        <f t="shared" si="117"/>
        <v>189.88373596959309</v>
      </c>
      <c r="L252" s="36">
        <f>(1+M250)*(1+M251)*(1+M252)-1</f>
        <v>-1.7547559524999867E-2</v>
      </c>
      <c r="M252" s="4">
        <v>-3.9699999999999999E-2</v>
      </c>
      <c r="N252" s="4">
        <f t="shared" si="124"/>
        <v>1.0223589785521687</v>
      </c>
      <c r="O252" s="40">
        <f t="shared" si="119"/>
        <v>202.23589785521699</v>
      </c>
      <c r="P252" s="36">
        <f>(1+Q250)*(1+Q251)*(1+Q252)-1</f>
        <v>-4.3923940870427058E-2</v>
      </c>
      <c r="Q252" s="4">
        <v>-5.5246702640947554E-2</v>
      </c>
      <c r="R252" s="4">
        <f t="shared" si="109"/>
        <v>0.99210970126875142</v>
      </c>
      <c r="S252" s="41">
        <f t="shared" si="120"/>
        <v>199.21097012687525</v>
      </c>
    </row>
    <row r="253" spans="1:19" ht="13.5" x14ac:dyDescent="0.25">
      <c r="A253" s="2">
        <v>44500</v>
      </c>
      <c r="B253" s="49">
        <v>2363234.66</v>
      </c>
      <c r="C253" s="6">
        <v>7</v>
      </c>
      <c r="D253" s="37"/>
      <c r="E253" s="4">
        <v>0.04</v>
      </c>
      <c r="F253" s="4">
        <f t="shared" si="123"/>
        <v>0.88967744275020788</v>
      </c>
      <c r="G253" s="40">
        <f t="shared" si="115"/>
        <v>188.96774427502081</v>
      </c>
      <c r="H253" s="37"/>
      <c r="I253" s="4">
        <v>4.0599999999999997E-2</v>
      </c>
      <c r="J253" s="4">
        <f t="shared" si="116"/>
        <v>0.97593015649958548</v>
      </c>
      <c r="K253" s="40">
        <f t="shared" si="117"/>
        <v>197.59301564995857</v>
      </c>
      <c r="L253" s="37"/>
      <c r="M253" s="4">
        <v>5.8900000000000001E-2</v>
      </c>
      <c r="N253" s="4">
        <f t="shared" si="124"/>
        <v>1.1414759223888913</v>
      </c>
      <c r="O253" s="40">
        <f t="shared" si="119"/>
        <v>214.14759223888927</v>
      </c>
      <c r="P253" s="37"/>
      <c r="Q253" s="4">
        <v>4.4225142252502181E-2</v>
      </c>
      <c r="R253" s="4">
        <f t="shared" si="109"/>
        <v>1.0802110361899517</v>
      </c>
      <c r="S253" s="41">
        <f t="shared" si="120"/>
        <v>208.02110361899528</v>
      </c>
    </row>
    <row r="254" spans="1:19" ht="13.5" x14ac:dyDescent="0.25">
      <c r="A254" s="2">
        <v>44530</v>
      </c>
      <c r="B254" s="49">
        <v>2304942.14</v>
      </c>
      <c r="C254" s="6">
        <v>7</v>
      </c>
      <c r="D254" s="37"/>
      <c r="E254" s="4">
        <v>-2.47E-2</v>
      </c>
      <c r="F254" s="4">
        <f t="shared" si="123"/>
        <v>0.84300240991427788</v>
      </c>
      <c r="G254" s="40">
        <f t="shared" si="115"/>
        <v>184.30024099142781</v>
      </c>
      <c r="H254" s="37"/>
      <c r="I254" s="4">
        <v>-2.4500000000000001E-2</v>
      </c>
      <c r="J254" s="4">
        <f t="shared" si="116"/>
        <v>0.92751986766534578</v>
      </c>
      <c r="K254" s="40">
        <f t="shared" si="117"/>
        <v>192.7519867665346</v>
      </c>
      <c r="L254" s="37"/>
      <c r="M254" s="4">
        <v>-2.9399999999999999E-2</v>
      </c>
      <c r="N254" s="4">
        <f t="shared" si="124"/>
        <v>1.0785165302706581</v>
      </c>
      <c r="O254" s="40">
        <f t="shared" si="119"/>
        <v>207.85165302706594</v>
      </c>
      <c r="P254" s="37"/>
      <c r="Q254" s="4">
        <v>-1.3710669713482115E-2</v>
      </c>
      <c r="R254" s="4">
        <f t="shared" si="109"/>
        <v>1.0516899497384111</v>
      </c>
      <c r="S254" s="41">
        <f t="shared" si="120"/>
        <v>205.16899497384119</v>
      </c>
    </row>
    <row r="255" spans="1:19" ht="13.5" x14ac:dyDescent="0.25">
      <c r="A255" s="2">
        <v>44561</v>
      </c>
      <c r="B255" s="49">
        <v>2449304.2999999998</v>
      </c>
      <c r="C255" s="6">
        <v>7</v>
      </c>
      <c r="D255" s="36">
        <f>(1+E253)*(1+E254)*(1+E255)-1</f>
        <v>7.780793120000018E-2</v>
      </c>
      <c r="E255" s="4">
        <v>6.2600000000000003E-2</v>
      </c>
      <c r="F255" s="4">
        <f t="shared" si="123"/>
        <v>0.95837436077491156</v>
      </c>
      <c r="G255" s="40">
        <f t="shared" si="115"/>
        <v>195.83743607749119</v>
      </c>
      <c r="H255" s="36">
        <f>(1+I253)*(1+I254)*(1+I255)-1</f>
        <v>7.9869018140000136E-2</v>
      </c>
      <c r="I255" s="4">
        <v>6.3799999999999996E-2</v>
      </c>
      <c r="J255" s="4">
        <f t="shared" si="116"/>
        <v>1.0504956352223949</v>
      </c>
      <c r="K255" s="40">
        <f t="shared" si="117"/>
        <v>205.04956352223951</v>
      </c>
      <c r="L255" s="36">
        <f>(1+M253)*(1+M254)*(1+M255)-1</f>
        <v>7.9978971671999854E-2</v>
      </c>
      <c r="M255" s="4">
        <v>5.0799999999999998E-2</v>
      </c>
      <c r="N255" s="4">
        <f t="shared" si="124"/>
        <v>1.1841051700084075</v>
      </c>
      <c r="O255" s="40">
        <f t="shared" si="119"/>
        <v>218.41051700084088</v>
      </c>
      <c r="P255" s="36">
        <f>(1+Q253)*(1+Q254)*(1+Q255)-1</f>
        <v>9.8081345757258465E-2</v>
      </c>
      <c r="Q255" s="4">
        <v>6.619350645266131E-2</v>
      </c>
      <c r="R255" s="4">
        <f t="shared" si="109"/>
        <v>1.187498501665281</v>
      </c>
      <c r="S255" s="41">
        <f t="shared" si="120"/>
        <v>218.74985016652818</v>
      </c>
    </row>
    <row r="256" spans="1:19" ht="13.5" x14ac:dyDescent="0.25">
      <c r="A256" s="2">
        <v>44592</v>
      </c>
      <c r="B256" s="49">
        <v>2430846.36</v>
      </c>
      <c r="C256" s="6">
        <v>7</v>
      </c>
      <c r="D256" s="37"/>
      <c r="E256" s="4">
        <v>-7.4999999999999997E-3</v>
      </c>
      <c r="F256" s="4">
        <f t="shared" ref="F256:F261" si="125">(F255+1)*(E256+1)-1</f>
        <v>0.94368655306909988</v>
      </c>
      <c r="G256" s="40">
        <f t="shared" si="115"/>
        <v>194.36865530691003</v>
      </c>
      <c r="H256" s="37"/>
      <c r="I256" s="4">
        <v>-7.0000000000000001E-3</v>
      </c>
      <c r="J256" s="4">
        <f t="shared" si="116"/>
        <v>1.0361421657758383</v>
      </c>
      <c r="K256" s="40">
        <f t="shared" si="117"/>
        <v>203.61421657758382</v>
      </c>
      <c r="L256" s="37"/>
      <c r="M256" s="4">
        <v>-7.2099999999999997E-2</v>
      </c>
      <c r="N256" s="4">
        <f t="shared" ref="N256:N261" si="126">(N255+1)*(M256+1)-1</f>
        <v>1.0266311872508012</v>
      </c>
      <c r="O256" s="40">
        <f t="shared" si="119"/>
        <v>202.66311872508024</v>
      </c>
      <c r="P256" s="37"/>
      <c r="Q256" s="4">
        <v>-3.5799999999999998E-2</v>
      </c>
      <c r="R256" s="4">
        <f t="shared" si="109"/>
        <v>1.1091860553056638</v>
      </c>
      <c r="S256" s="41">
        <f t="shared" si="120"/>
        <v>210.91860553056645</v>
      </c>
    </row>
    <row r="257" spans="1:19" ht="13.5" x14ac:dyDescent="0.25">
      <c r="A257" s="2">
        <v>44620</v>
      </c>
      <c r="B257" s="49">
        <v>2424542.33</v>
      </c>
      <c r="C257" s="6">
        <v>7</v>
      </c>
      <c r="D257" s="37"/>
      <c r="E257" s="4">
        <v>-2.5999999999999999E-3</v>
      </c>
      <c r="F257" s="4">
        <f t="shared" si="125"/>
        <v>0.93863296803112006</v>
      </c>
      <c r="G257" s="40">
        <f t="shared" si="115"/>
        <v>193.86329680311206</v>
      </c>
      <c r="H257" s="37"/>
      <c r="I257" s="4">
        <v>-2.3999999999999998E-3</v>
      </c>
      <c r="J257" s="4">
        <f t="shared" si="116"/>
        <v>1.0312554245779761</v>
      </c>
      <c r="K257" s="40">
        <f t="shared" si="117"/>
        <v>203.12554245779762</v>
      </c>
      <c r="L257" s="37"/>
      <c r="M257" s="4">
        <v>1.11E-2</v>
      </c>
      <c r="N257" s="4">
        <f t="shared" si="126"/>
        <v>1.0491267934292852</v>
      </c>
      <c r="O257" s="40">
        <f t="shared" si="119"/>
        <v>204.91267934292864</v>
      </c>
      <c r="P257" s="37"/>
      <c r="Q257" s="4">
        <v>5.1000000000000004E-3</v>
      </c>
      <c r="R257" s="4">
        <f t="shared" si="109"/>
        <v>1.1199429041877229</v>
      </c>
      <c r="S257" s="41">
        <f t="shared" si="120"/>
        <v>211.99429041877235</v>
      </c>
    </row>
    <row r="258" spans="1:19" ht="13.5" x14ac:dyDescent="0.25">
      <c r="A258" s="2">
        <v>44651</v>
      </c>
      <c r="B258" s="49">
        <v>2468695.5299999998</v>
      </c>
      <c r="C258" s="6">
        <v>7</v>
      </c>
      <c r="D258" s="36">
        <f>(1+E256)*(1+E257)*(1+E258)-1</f>
        <v>7.9360348999999442E-3</v>
      </c>
      <c r="E258" s="4">
        <v>1.8200000000000001E-2</v>
      </c>
      <c r="F258" s="4">
        <f t="shared" si="125"/>
        <v>0.97391608804928653</v>
      </c>
      <c r="G258" s="40">
        <f t="shared" si="115"/>
        <v>197.39160880492869</v>
      </c>
      <c r="H258" s="36">
        <f>(1+I256)*(1+I257)*(1+I258)-1</f>
        <v>9.7357042400001426E-3</v>
      </c>
      <c r="I258" s="4">
        <v>1.9300000000000001E-2</v>
      </c>
      <c r="J258" s="4">
        <f t="shared" si="116"/>
        <v>1.0704586542723313</v>
      </c>
      <c r="K258" s="40">
        <f t="shared" si="117"/>
        <v>207.04586542723314</v>
      </c>
      <c r="L258" s="36">
        <f>(1+M256)*(1+M257)*(1+M258)-1</f>
        <v>-4.8853154277999966E-2</v>
      </c>
      <c r="M258" s="4">
        <v>1.38E-2</v>
      </c>
      <c r="N258" s="4">
        <f t="shared" si="126"/>
        <v>1.0774047431786093</v>
      </c>
      <c r="O258" s="40">
        <f t="shared" si="119"/>
        <v>207.74047431786107</v>
      </c>
      <c r="P258" s="36">
        <f>(1+Q256)*(1+Q257)*(1+Q258)-1</f>
        <v>-1.3341554698000024E-2</v>
      </c>
      <c r="Q258" s="4">
        <v>1.8100000000000002E-2</v>
      </c>
      <c r="R258" s="4">
        <f t="shared" si="109"/>
        <v>1.1583138707535205</v>
      </c>
      <c r="S258" s="41">
        <f t="shared" si="120"/>
        <v>215.83138707535213</v>
      </c>
    </row>
    <row r="259" spans="1:19" ht="13.5" x14ac:dyDescent="0.25">
      <c r="A259" s="2">
        <v>44681</v>
      </c>
      <c r="B259" s="49">
        <v>2352299.42</v>
      </c>
      <c r="C259" s="6">
        <v>7</v>
      </c>
      <c r="D259" s="37"/>
      <c r="E259" s="4">
        <v>-4.7100000000000003E-2</v>
      </c>
      <c r="F259" s="4">
        <f t="shared" si="125"/>
        <v>0.88094464030216502</v>
      </c>
      <c r="G259" s="40">
        <f t="shared" si="115"/>
        <v>188.09446403021656</v>
      </c>
      <c r="H259" s="37"/>
      <c r="I259" s="4">
        <v>-4.6600000000000003E-2</v>
      </c>
      <c r="J259" s="4">
        <f t="shared" si="116"/>
        <v>0.97397528098324071</v>
      </c>
      <c r="K259" s="40">
        <f t="shared" si="117"/>
        <v>197.39752809832407</v>
      </c>
      <c r="L259" s="37"/>
      <c r="M259" s="4">
        <v>-7.1099999999999997E-2</v>
      </c>
      <c r="N259" s="4">
        <f t="shared" si="126"/>
        <v>0.92970126593861036</v>
      </c>
      <c r="O259" s="40">
        <f t="shared" si="119"/>
        <v>192.97012659386115</v>
      </c>
      <c r="P259" s="37"/>
      <c r="Q259" s="4">
        <v>-4.2700000000000002E-2</v>
      </c>
      <c r="R259" s="4">
        <f t="shared" si="109"/>
        <v>1.0661538684723455</v>
      </c>
      <c r="S259" s="41">
        <f t="shared" si="120"/>
        <v>206.61538684723459</v>
      </c>
    </row>
    <row r="260" spans="1:19" ht="13.5" x14ac:dyDescent="0.25">
      <c r="A260" s="2">
        <v>44712</v>
      </c>
      <c r="B260" s="49">
        <v>2362746.81</v>
      </c>
      <c r="C260" s="6">
        <v>7</v>
      </c>
      <c r="D260" s="37"/>
      <c r="E260" s="4">
        <v>1.29E-2</v>
      </c>
      <c r="F260" s="4">
        <f t="shared" si="125"/>
        <v>0.90520882616206277</v>
      </c>
      <c r="G260" s="40">
        <f t="shared" si="115"/>
        <v>190.52088261620634</v>
      </c>
      <c r="H260" s="37"/>
      <c r="I260" s="4">
        <v>1.3100000000000001E-2</v>
      </c>
      <c r="J260" s="4">
        <f t="shared" si="116"/>
        <v>0.99983435716412128</v>
      </c>
      <c r="K260" s="40">
        <f t="shared" si="117"/>
        <v>199.98343571641215</v>
      </c>
      <c r="L260" s="37"/>
      <c r="M260" s="4">
        <v>7.4999999999999997E-3</v>
      </c>
      <c r="N260" s="4">
        <f t="shared" si="126"/>
        <v>0.9441740254331501</v>
      </c>
      <c r="O260" s="40">
        <f t="shared" si="119"/>
        <v>194.41740254331512</v>
      </c>
      <c r="P260" s="37"/>
      <c r="Q260" s="4">
        <v>4.1399999999999999E-2</v>
      </c>
      <c r="R260" s="4">
        <f t="shared" si="109"/>
        <v>1.1516926386271007</v>
      </c>
      <c r="S260" s="41">
        <f t="shared" si="120"/>
        <v>215.16926386271012</v>
      </c>
    </row>
    <row r="261" spans="1:19" ht="13.5" x14ac:dyDescent="0.25">
      <c r="A261" s="2">
        <v>44742</v>
      </c>
      <c r="B261" s="49">
        <v>2160277.14</v>
      </c>
      <c r="C261" s="6">
        <v>7</v>
      </c>
      <c r="D261" s="36">
        <f>(1+E259)*(1+E260)*(1+E261)-1</f>
        <v>-0.11665590636800005</v>
      </c>
      <c r="E261" s="4">
        <v>-8.48E-2</v>
      </c>
      <c r="F261" s="4">
        <f t="shared" si="125"/>
        <v>0.74364711770351977</v>
      </c>
      <c r="G261" s="40">
        <f t="shared" si="115"/>
        <v>174.36471177035205</v>
      </c>
      <c r="H261" s="36">
        <f>(1+I259)*(1+I260)*(1+I261)-1</f>
        <v>-0.11505200345199984</v>
      </c>
      <c r="I261" s="4">
        <v>-8.3799999999999999E-2</v>
      </c>
      <c r="J261" s="4">
        <f t="shared" si="116"/>
        <v>0.83224823803376791</v>
      </c>
      <c r="K261" s="40">
        <f t="shared" si="117"/>
        <v>183.22482380337681</v>
      </c>
      <c r="L261" s="36">
        <f>(1+M259)*(1+M260)*(1+M261)-1</f>
        <v>-0.15416363134999989</v>
      </c>
      <c r="M261" s="4">
        <v>-9.6199999999999994E-2</v>
      </c>
      <c r="N261" s="4">
        <f t="shared" si="126"/>
        <v>0.75714448418648117</v>
      </c>
      <c r="O261" s="40">
        <f t="shared" si="119"/>
        <v>175.7144484186482</v>
      </c>
      <c r="P261" s="36">
        <f>(1+Q259)*(1+Q260)*(1+Q261)-1</f>
        <v>-5.9992609761999938E-2</v>
      </c>
      <c r="Q261" s="4">
        <v>-5.7099999999999998E-2</v>
      </c>
      <c r="R261" s="4">
        <f t="shared" si="109"/>
        <v>1.0288309889614933</v>
      </c>
      <c r="S261" s="41">
        <f t="shared" si="120"/>
        <v>202.88309889614936</v>
      </c>
    </row>
    <row r="262" spans="1:19" ht="13.5" x14ac:dyDescent="0.25">
      <c r="A262" s="2">
        <v>44773</v>
      </c>
      <c r="B262" s="49">
        <v>2317053.71</v>
      </c>
      <c r="C262" s="6">
        <v>7</v>
      </c>
      <c r="D262" s="37"/>
      <c r="E262" s="4">
        <v>7.3200000000000001E-2</v>
      </c>
      <c r="F262" s="4">
        <f t="shared" ref="F262:F270" si="127">(F261+1)*(E262+1)-1</f>
        <v>0.87128208671941731</v>
      </c>
      <c r="G262" s="40">
        <f t="shared" si="115"/>
        <v>187.12820867194179</v>
      </c>
      <c r="H262" s="37"/>
      <c r="I262" s="4">
        <v>7.3800000000000004E-2</v>
      </c>
      <c r="J262" s="4">
        <f t="shared" si="116"/>
        <v>0.96746815800066011</v>
      </c>
      <c r="K262" s="40">
        <f t="shared" si="117"/>
        <v>196.74681580006603</v>
      </c>
      <c r="L262" s="37"/>
      <c r="M262" s="4">
        <v>0.1085</v>
      </c>
      <c r="N262" s="4">
        <f t="shared" ref="N262:N270" si="128">(N261+1)*(M262+1)-1</f>
        <v>0.94779466072071439</v>
      </c>
      <c r="O262" s="40">
        <f t="shared" si="119"/>
        <v>194.77946607207153</v>
      </c>
      <c r="P262" s="37"/>
      <c r="Q262" s="4">
        <v>7.0138241031295179E-2</v>
      </c>
      <c r="R262" s="4">
        <f t="shared" si="109"/>
        <v>1.1711296258770356</v>
      </c>
      <c r="S262" s="41">
        <f t="shared" si="120"/>
        <v>217.11296258770358</v>
      </c>
    </row>
    <row r="263" spans="1:19" ht="13.5" x14ac:dyDescent="0.25">
      <c r="A263" s="2">
        <v>44804</v>
      </c>
      <c r="B263" s="49">
        <v>2267540.7599999998</v>
      </c>
      <c r="C263" s="6">
        <v>7</v>
      </c>
      <c r="D263" s="37"/>
      <c r="E263" s="4">
        <v>-2.0299999999999999E-2</v>
      </c>
      <c r="F263" s="4">
        <f t="shared" si="127"/>
        <v>0.83329506035901324</v>
      </c>
      <c r="G263" s="40">
        <f t="shared" si="115"/>
        <v>183.32950603590137</v>
      </c>
      <c r="H263" s="37"/>
      <c r="I263" s="4">
        <v>-2.01E-2</v>
      </c>
      <c r="J263" s="4">
        <f t="shared" si="116"/>
        <v>0.9279220480248469</v>
      </c>
      <c r="K263" s="40">
        <f t="shared" si="117"/>
        <v>192.79220480248469</v>
      </c>
      <c r="L263" s="37"/>
      <c r="M263" s="4">
        <v>-3.1E-2</v>
      </c>
      <c r="N263" s="4">
        <f t="shared" si="128"/>
        <v>0.88741302623837215</v>
      </c>
      <c r="O263" s="40">
        <f t="shared" si="119"/>
        <v>188.7413026238373</v>
      </c>
      <c r="P263" s="37"/>
      <c r="Q263" s="4">
        <v>-2.8174037089871651E-2</v>
      </c>
      <c r="R263" s="4">
        <f t="shared" si="109"/>
        <v>1.1099601392706568</v>
      </c>
      <c r="S263" s="41">
        <f t="shared" si="120"/>
        <v>210.99601392706569</v>
      </c>
    </row>
    <row r="264" spans="1:19" ht="13.5" x14ac:dyDescent="0.25">
      <c r="A264" s="2">
        <v>44834</v>
      </c>
      <c r="B264" s="49">
        <v>2094309.6</v>
      </c>
      <c r="C264" s="6">
        <v>7</v>
      </c>
      <c r="D264" s="36">
        <f>(1+E262)*(1+E263)*(1+E264)-1</f>
        <v>-2.7862578615999944E-2</v>
      </c>
      <c r="E264" s="4">
        <v>-7.5399999999999995E-2</v>
      </c>
      <c r="F264" s="4">
        <f t="shared" si="127"/>
        <v>0.69506461280794363</v>
      </c>
      <c r="G264" s="40">
        <f t="shared" si="115"/>
        <v>169.50646128079441</v>
      </c>
      <c r="H264" s="36">
        <f>(1+I262)*(1+I263)*(1+I264)-1</f>
        <v>-2.6068296528000023E-2</v>
      </c>
      <c r="I264" s="4">
        <v>-7.4399999999999994E-2</v>
      </c>
      <c r="J264" s="4">
        <f t="shared" si="116"/>
        <v>0.78448464765179815</v>
      </c>
      <c r="K264" s="40">
        <f t="shared" si="117"/>
        <v>178.44846476517984</v>
      </c>
      <c r="L264" s="36">
        <f>(1+M262)*(1+M263)*(1+M264)-1</f>
        <v>-2.4576644349999954E-2</v>
      </c>
      <c r="M264" s="4">
        <v>-9.1899999999999996E-2</v>
      </c>
      <c r="N264" s="4">
        <f t="shared" si="128"/>
        <v>0.71395976912706582</v>
      </c>
      <c r="O264" s="40">
        <f t="shared" si="119"/>
        <v>171.39597691270666</v>
      </c>
      <c r="P264" s="36">
        <f>(1+Q262)*(1+Q263)*(1+Q264)-1</f>
        <v>-3.9807904333813759E-2</v>
      </c>
      <c r="Q264" s="4">
        <v>-7.672782874617734E-2</v>
      </c>
      <c r="R264" s="4">
        <f t="shared" si="109"/>
        <v>0.94806747904343736</v>
      </c>
      <c r="S264" s="41">
        <f t="shared" si="120"/>
        <v>194.80674790434375</v>
      </c>
    </row>
    <row r="265" spans="1:19" ht="13.5" x14ac:dyDescent="0.25">
      <c r="A265" s="2">
        <v>44865</v>
      </c>
      <c r="B265" s="49">
        <v>2294317.2400000002</v>
      </c>
      <c r="C265" s="6">
        <v>7</v>
      </c>
      <c r="D265" s="37"/>
      <c r="E265" s="4">
        <v>9.6100000000000005E-2</v>
      </c>
      <c r="F265" s="4">
        <f t="shared" si="127"/>
        <v>0.85796032209878703</v>
      </c>
      <c r="G265" s="40">
        <f t="shared" si="115"/>
        <v>185.79603220987877</v>
      </c>
      <c r="H265" s="37"/>
      <c r="I265" s="4">
        <v>9.7600000000000006E-2</v>
      </c>
      <c r="J265" s="4">
        <f t="shared" si="116"/>
        <v>0.9586503492626135</v>
      </c>
      <c r="K265" s="40">
        <f t="shared" si="117"/>
        <v>195.86503492626136</v>
      </c>
      <c r="L265" s="37"/>
      <c r="M265" s="4">
        <v>0.1052</v>
      </c>
      <c r="N265" s="4">
        <f t="shared" si="128"/>
        <v>0.89426833683923301</v>
      </c>
      <c r="O265" s="40">
        <f t="shared" si="119"/>
        <v>189.42683368392341</v>
      </c>
      <c r="P265" s="37"/>
      <c r="Q265" s="4">
        <v>9.7324809821911495E-2</v>
      </c>
      <c r="R265" s="4">
        <f t="shared" si="109"/>
        <v>1.1376627759615903</v>
      </c>
      <c r="S265" s="41">
        <f t="shared" si="120"/>
        <v>213.76627759615906</v>
      </c>
    </row>
    <row r="266" spans="1:19" ht="13.5" x14ac:dyDescent="0.25">
      <c r="A266" s="2">
        <v>44895</v>
      </c>
      <c r="B266" s="49">
        <v>2377708.4900000002</v>
      </c>
      <c r="C266" s="6">
        <v>7</v>
      </c>
      <c r="D266" s="37"/>
      <c r="E266" s="4">
        <v>3.73E-2</v>
      </c>
      <c r="F266" s="4">
        <f t="shared" si="127"/>
        <v>0.92726224211307207</v>
      </c>
      <c r="G266" s="40">
        <f t="shared" si="115"/>
        <v>192.72622421130728</v>
      </c>
      <c r="H266" s="37"/>
      <c r="I266" s="4">
        <v>3.73E-2</v>
      </c>
      <c r="J266" s="4">
        <f t="shared" si="116"/>
        <v>1.031708007290109</v>
      </c>
      <c r="K266" s="40">
        <f t="shared" si="117"/>
        <v>203.17080072901092</v>
      </c>
      <c r="L266" s="37"/>
      <c r="M266" s="4">
        <v>6.1199999999999997E-2</v>
      </c>
      <c r="N266" s="4">
        <f t="shared" si="128"/>
        <v>1.0101975590537937</v>
      </c>
      <c r="O266" s="40">
        <f t="shared" si="119"/>
        <v>201.0197559053795</v>
      </c>
      <c r="P266" s="37"/>
      <c r="Q266" s="4">
        <v>6.4937416991990959E-2</v>
      </c>
      <c r="R266" s="4">
        <f t="shared" si="109"/>
        <v>1.276477075032465</v>
      </c>
      <c r="S266" s="41">
        <f t="shared" si="120"/>
        <v>227.64770750324652</v>
      </c>
    </row>
    <row r="267" spans="1:19" ht="13.5" x14ac:dyDescent="0.25">
      <c r="A267" s="2">
        <v>44926</v>
      </c>
      <c r="B267" s="49">
        <v>2283165.16</v>
      </c>
      <c r="C267" s="6">
        <v>7</v>
      </c>
      <c r="D267" s="36">
        <f>(1+E265)*(1+E266)*(1+E267)-1</f>
        <v>9.2642133330000043E-2</v>
      </c>
      <c r="E267" s="4">
        <v>-3.9E-2</v>
      </c>
      <c r="F267" s="4">
        <f t="shared" si="127"/>
        <v>0.85209901467066218</v>
      </c>
      <c r="G267" s="40">
        <f t="shared" si="115"/>
        <v>185.20990146706629</v>
      </c>
      <c r="H267" s="36">
        <f>(1+I265)*(1+I266)*(1+I267)-1</f>
        <v>9.4592817472000101E-2</v>
      </c>
      <c r="I267" s="4">
        <v>-3.8600000000000002E-2</v>
      </c>
      <c r="J267" s="4">
        <f t="shared" si="116"/>
        <v>0.95328407820871086</v>
      </c>
      <c r="K267" s="40">
        <f t="shared" si="117"/>
        <v>195.32840782087109</v>
      </c>
      <c r="L267" s="36">
        <f>(1+M265)*(1+M266)*(1+M267)-1</f>
        <v>0.10786300150399986</v>
      </c>
      <c r="M267" s="4">
        <v>-5.5399999999999998E-2</v>
      </c>
      <c r="N267" s="4">
        <f t="shared" si="128"/>
        <v>0.89883261428221362</v>
      </c>
      <c r="O267" s="40">
        <f t="shared" si="119"/>
        <v>189.88326142822146</v>
      </c>
      <c r="P267" s="36">
        <f>(1+Q265)*(1+Q266)*(1+Q267)-1</f>
        <v>0.12162565002815384</v>
      </c>
      <c r="Q267" s="4">
        <v>-4.0182536233253408E-2</v>
      </c>
      <c r="R267" s="4">
        <f t="shared" si="109"/>
        <v>1.185002452480802</v>
      </c>
      <c r="S267" s="41">
        <f t="shared" si="120"/>
        <v>218.50024524808023</v>
      </c>
    </row>
    <row r="268" spans="1:19" ht="13.5" x14ac:dyDescent="0.25">
      <c r="A268" s="2">
        <v>44957</v>
      </c>
      <c r="B268" s="49">
        <v>2405011.4700000002</v>
      </c>
      <c r="C268" s="6">
        <v>7</v>
      </c>
      <c r="D268" s="37"/>
      <c r="E268" s="4">
        <v>5.4300000000000001E-2</v>
      </c>
      <c r="F268" s="4">
        <f t="shared" si="127"/>
        <v>0.95266799116727907</v>
      </c>
      <c r="G268" s="40">
        <f t="shared" si="115"/>
        <v>195.26679911672798</v>
      </c>
      <c r="H268" s="37"/>
      <c r="I268" s="4">
        <v>5.5800000000000002E-2</v>
      </c>
      <c r="J268" s="4">
        <f t="shared" si="116"/>
        <v>1.062277329772757</v>
      </c>
      <c r="K268" s="40">
        <f t="shared" si="117"/>
        <v>206.22773297727571</v>
      </c>
      <c r="L268" s="37"/>
      <c r="M268" s="4">
        <v>9.2299999999999993E-2</v>
      </c>
      <c r="N268" s="4">
        <f t="shared" si="128"/>
        <v>1.074094864580462</v>
      </c>
      <c r="O268" s="40">
        <f t="shared" si="119"/>
        <v>207.4094864580463</v>
      </c>
      <c r="P268" s="37"/>
      <c r="Q268" s="4">
        <v>4.4900000000000002E-2</v>
      </c>
      <c r="R268" s="4">
        <f t="shared" si="109"/>
        <v>1.2831090625971897</v>
      </c>
      <c r="S268" s="41">
        <f t="shared" si="120"/>
        <v>228.31090625971902</v>
      </c>
    </row>
    <row r="269" spans="1:19" ht="13.5" x14ac:dyDescent="0.25">
      <c r="A269" s="2">
        <v>44985</v>
      </c>
      <c r="B269" s="49">
        <v>2370745.11</v>
      </c>
      <c r="C269" s="6">
        <v>7</v>
      </c>
      <c r="D269" s="37"/>
      <c r="E269" s="4">
        <v>-1.34E-2</v>
      </c>
      <c r="F269" s="4">
        <f t="shared" si="127"/>
        <v>0.92650224008563753</v>
      </c>
      <c r="G269" s="40">
        <f t="shared" si="115"/>
        <v>192.65022400856384</v>
      </c>
      <c r="H269" s="37"/>
      <c r="I269" s="4">
        <v>-1.34E-2</v>
      </c>
      <c r="J269" s="4">
        <f t="shared" si="116"/>
        <v>1.0346428135538019</v>
      </c>
      <c r="K269" s="40">
        <f t="shared" si="117"/>
        <v>203.46428135538022</v>
      </c>
      <c r="L269" s="37"/>
      <c r="M269" s="4">
        <v>-1.8100000000000002E-2</v>
      </c>
      <c r="N269" s="4">
        <f t="shared" si="128"/>
        <v>1.0365537475315558</v>
      </c>
      <c r="O269" s="40">
        <f t="shared" si="119"/>
        <v>203.65537475315566</v>
      </c>
      <c r="P269" s="37"/>
      <c r="Q269" s="4">
        <v>-7.7999999999999996E-3</v>
      </c>
      <c r="R269" s="4">
        <f t="shared" si="109"/>
        <v>1.2653008119089315</v>
      </c>
      <c r="S269" s="41">
        <f t="shared" si="120"/>
        <v>226.53008119089321</v>
      </c>
    </row>
    <row r="270" spans="1:19" ht="13.5" x14ac:dyDescent="0.25">
      <c r="A270" s="2">
        <v>45016</v>
      </c>
      <c r="B270" s="49">
        <v>2297298.7400000002</v>
      </c>
      <c r="C270" s="6">
        <v>7</v>
      </c>
      <c r="D270" s="36">
        <f>(1+E268)*(1+E269)*(1+E270)-1</f>
        <v>2.5181398439999558E-3</v>
      </c>
      <c r="E270" s="4">
        <v>-3.6200000000000003E-2</v>
      </c>
      <c r="F270" s="4">
        <f t="shared" si="127"/>
        <v>0.85676285899453752</v>
      </c>
      <c r="G270" s="40">
        <f t="shared" si="115"/>
        <v>185.67628589945383</v>
      </c>
      <c r="H270" s="36">
        <f>(1+I268)*(1+I269)*(1+I270)-1</f>
        <v>4.3611283760001118E-3</v>
      </c>
      <c r="I270" s="4">
        <v>-3.5799999999999998E-2</v>
      </c>
      <c r="J270" s="4">
        <f t="shared" ref="J270:J300" si="129">(J269+1)*(I270+1)-1</f>
        <v>0.96180260082857583</v>
      </c>
      <c r="K270" s="40">
        <f t="shared" si="117"/>
        <v>196.18026008285759</v>
      </c>
      <c r="L270" s="36">
        <f>(1+M268)*(1+M269)*(1+M270)-1</f>
        <v>3.8101177222999993E-2</v>
      </c>
      <c r="M270" s="4">
        <v>-3.2099999999999997E-2</v>
      </c>
      <c r="N270" s="4">
        <f t="shared" si="128"/>
        <v>0.97118037223579279</v>
      </c>
      <c r="O270" s="40">
        <f t="shared" si="119"/>
        <v>197.11803722357936</v>
      </c>
      <c r="P270" s="36">
        <f>(1+Q268)*(1+Q269)*(1+Q270)-1</f>
        <v>-5.0312361340001388E-3</v>
      </c>
      <c r="Q270" s="4">
        <v>-4.0300000000000002E-2</v>
      </c>
      <c r="R270" s="4">
        <f t="shared" si="109"/>
        <v>1.1740091891890017</v>
      </c>
      <c r="S270" s="41">
        <f t="shared" si="120"/>
        <v>217.4009189189002</v>
      </c>
    </row>
    <row r="271" spans="1:19" ht="13.5" x14ac:dyDescent="0.25">
      <c r="A271" s="2">
        <v>45046</v>
      </c>
      <c r="B271" s="49">
        <v>2292048.16</v>
      </c>
      <c r="C271" s="6">
        <v>7</v>
      </c>
      <c r="D271" s="37"/>
      <c r="E271" s="4">
        <v>9.7000000000000003E-3</v>
      </c>
      <c r="F271" s="4">
        <f t="shared" ref="F271:F276" si="130">(F270+1)*(E271+1)-1</f>
        <v>0.87477345872678458</v>
      </c>
      <c r="G271" s="40">
        <f t="shared" si="115"/>
        <v>187.47734587267854</v>
      </c>
      <c r="H271" s="37"/>
      <c r="I271" s="4">
        <v>1.11E-2</v>
      </c>
      <c r="J271" s="4">
        <f t="shared" si="129"/>
        <v>0.98357860969777322</v>
      </c>
      <c r="K271" s="40">
        <f t="shared" si="117"/>
        <v>198.35786096977733</v>
      </c>
      <c r="L271" s="37"/>
      <c r="M271" s="4">
        <v>-7.7999999999999996E-3</v>
      </c>
      <c r="N271" s="4">
        <f t="shared" ref="N271:N276" si="131">(N270+1)*(M271+1)-1</f>
        <v>0.9558051653323536</v>
      </c>
      <c r="O271" s="40">
        <f t="shared" si="119"/>
        <v>195.58051653323545</v>
      </c>
      <c r="P271" s="37"/>
      <c r="Q271" s="4">
        <v>-4.9070043529876317E-3</v>
      </c>
      <c r="R271" s="4">
        <f t="shared" si="109"/>
        <v>1.1633413166342161</v>
      </c>
      <c r="S271" s="41">
        <f t="shared" si="120"/>
        <v>216.33413166342166</v>
      </c>
    </row>
    <row r="272" spans="1:19" ht="13.5" x14ac:dyDescent="0.25">
      <c r="A272" s="2">
        <v>45077</v>
      </c>
      <c r="B272" s="49">
        <v>2201981.64</v>
      </c>
      <c r="C272" s="6">
        <v>7</v>
      </c>
      <c r="D272" s="37"/>
      <c r="E272" s="4">
        <v>-3.8399999999999997E-2</v>
      </c>
      <c r="F272" s="4">
        <f t="shared" si="130"/>
        <v>0.80278215791167606</v>
      </c>
      <c r="G272" s="40">
        <f t="shared" si="115"/>
        <v>180.2782157911677</v>
      </c>
      <c r="H272" s="37"/>
      <c r="I272" s="4">
        <v>-3.8399999999999997E-2</v>
      </c>
      <c r="J272" s="4">
        <f t="shared" si="129"/>
        <v>0.90740919108537876</v>
      </c>
      <c r="K272" s="40">
        <f t="shared" si="117"/>
        <v>190.74091910853789</v>
      </c>
      <c r="L272" s="37"/>
      <c r="M272" s="4">
        <v>-3.1899999999999998E-2</v>
      </c>
      <c r="N272" s="4">
        <f t="shared" si="131"/>
        <v>0.89341498055825141</v>
      </c>
      <c r="O272" s="40">
        <f t="shared" si="119"/>
        <v>189.34149805582524</v>
      </c>
      <c r="P272" s="37"/>
      <c r="Q272" s="4">
        <v>-4.932195975503062E-2</v>
      </c>
      <c r="R272" s="4">
        <f t="shared" si="109"/>
        <v>1.0566410832787883</v>
      </c>
      <c r="S272" s="41">
        <f t="shared" si="120"/>
        <v>205.66410832787889</v>
      </c>
    </row>
    <row r="273" spans="1:19" ht="13.5" x14ac:dyDescent="0.25">
      <c r="A273" s="2">
        <v>45107</v>
      </c>
      <c r="B273" s="49">
        <v>2365496.9700000002</v>
      </c>
      <c r="C273" s="6">
        <v>7</v>
      </c>
      <c r="D273" s="36">
        <f>(1+E271)*(1+E272)*(1+E273)-1</f>
        <v>4.3747084000000047E-2</v>
      </c>
      <c r="E273" s="4">
        <v>7.4999999999999997E-2</v>
      </c>
      <c r="F273" s="4">
        <f t="shared" si="130"/>
        <v>0.93799081975505172</v>
      </c>
      <c r="G273" s="40">
        <f t="shared" si="115"/>
        <v>193.79908197550526</v>
      </c>
      <c r="H273" s="36">
        <f>(1+I271)*(1+I272)*(1+I273)-1</f>
        <v>4.5583201504000082E-2</v>
      </c>
      <c r="I273" s="4">
        <v>7.5399999999999995E-2</v>
      </c>
      <c r="J273" s="4">
        <f t="shared" si="129"/>
        <v>1.0512278440932161</v>
      </c>
      <c r="K273" s="40">
        <f t="shared" si="117"/>
        <v>205.12278440932164</v>
      </c>
      <c r="L273" s="36">
        <f>(1+M271)*(1+M272)*(1+M273)-1</f>
        <v>4.8535091911999784E-2</v>
      </c>
      <c r="M273" s="4">
        <v>9.1600000000000001E-2</v>
      </c>
      <c r="N273" s="4">
        <f t="shared" si="131"/>
        <v>1.0668517927773871</v>
      </c>
      <c r="O273" s="40">
        <f t="shared" si="119"/>
        <v>206.68517927773883</v>
      </c>
      <c r="P273" s="36">
        <f>(1+Q271)*(1+Q272)*(1+Q273)-1</f>
        <v>-6.8262762168569413E-4</v>
      </c>
      <c r="Q273" s="4">
        <v>5.6346276523430605E-2</v>
      </c>
      <c r="R273" s="4">
        <f t="shared" si="109"/>
        <v>1.1725251504666629</v>
      </c>
      <c r="S273" s="41">
        <f t="shared" si="120"/>
        <v>217.25251504666633</v>
      </c>
    </row>
    <row r="274" spans="1:19" ht="13.5" x14ac:dyDescent="0.25">
      <c r="A274" s="2">
        <v>45138</v>
      </c>
      <c r="B274" s="49">
        <v>2388013.4900000002</v>
      </c>
      <c r="C274" s="6">
        <v>7</v>
      </c>
      <c r="D274" s="37"/>
      <c r="E274" s="4">
        <v>1.0500000000000001E-2</v>
      </c>
      <c r="F274" s="4">
        <f t="shared" si="130"/>
        <v>0.95833972336247975</v>
      </c>
      <c r="G274" s="40">
        <f t="shared" si="115"/>
        <v>195.83397233624805</v>
      </c>
      <c r="H274" s="37"/>
      <c r="I274" s="4">
        <v>1.1900000000000001E-2</v>
      </c>
      <c r="J274" s="4">
        <f t="shared" si="129"/>
        <v>1.0756374554379255</v>
      </c>
      <c r="K274" s="40">
        <f t="shared" si="117"/>
        <v>207.56374554379258</v>
      </c>
      <c r="L274" s="37"/>
      <c r="M274" s="4">
        <v>4.1300000000000003E-2</v>
      </c>
      <c r="N274" s="4">
        <f t="shared" si="131"/>
        <v>1.1522127718190935</v>
      </c>
      <c r="O274" s="40">
        <f t="shared" si="119"/>
        <v>215.22127718190947</v>
      </c>
      <c r="P274" s="37"/>
      <c r="Q274" s="4">
        <v>3.5299999999999998E-2</v>
      </c>
      <c r="R274" s="4">
        <f t="shared" si="109"/>
        <v>1.249215288278136</v>
      </c>
      <c r="S274" s="41">
        <f t="shared" si="120"/>
        <v>224.92152882781363</v>
      </c>
    </row>
    <row r="275" spans="1:19" ht="13.5" x14ac:dyDescent="0.25">
      <c r="A275" s="2">
        <v>45169</v>
      </c>
      <c r="B275" s="49">
        <v>2308183.71</v>
      </c>
      <c r="C275" s="6">
        <v>7</v>
      </c>
      <c r="D275" s="37"/>
      <c r="E275" s="4">
        <v>-3.27E-2</v>
      </c>
      <c r="F275" s="4">
        <f t="shared" si="130"/>
        <v>0.89430201440852675</v>
      </c>
      <c r="G275" s="40">
        <f t="shared" si="115"/>
        <v>189.43020144085276</v>
      </c>
      <c r="H275" s="37"/>
      <c r="I275" s="4">
        <v>-3.27E-2</v>
      </c>
      <c r="J275" s="4">
        <f t="shared" si="129"/>
        <v>1.0077641106451054</v>
      </c>
      <c r="K275" s="40">
        <f t="shared" si="117"/>
        <v>200.77641106451057</v>
      </c>
      <c r="L275" s="37"/>
      <c r="M275" s="4">
        <v>-2.8899999999999999E-2</v>
      </c>
      <c r="N275" s="4">
        <f t="shared" si="131"/>
        <v>1.0900138227135217</v>
      </c>
      <c r="O275" s="40">
        <f t="shared" si="119"/>
        <v>209.00138227135227</v>
      </c>
      <c r="P275" s="37"/>
      <c r="Q275" s="4">
        <v>-4.07E-2</v>
      </c>
      <c r="R275" s="4">
        <f t="shared" si="109"/>
        <v>1.1576722260452161</v>
      </c>
      <c r="S275" s="41">
        <f t="shared" si="120"/>
        <v>215.76722260452163</v>
      </c>
    </row>
    <row r="276" spans="1:19" ht="13.5" x14ac:dyDescent="0.25">
      <c r="A276" s="2">
        <v>45199</v>
      </c>
      <c r="B276" s="49">
        <v>2189177.85</v>
      </c>
      <c r="C276" s="6">
        <v>7</v>
      </c>
      <c r="D276" s="36">
        <f>(1+E274)*(1+E275)*(1+E276)-1</f>
        <v>-7.210040215499991E-2</v>
      </c>
      <c r="E276" s="4">
        <v>-5.0700000000000002E-2</v>
      </c>
      <c r="F276" s="4">
        <f t="shared" si="130"/>
        <v>0.79826090227801449</v>
      </c>
      <c r="G276" s="40">
        <f t="shared" si="115"/>
        <v>179.82609022780153</v>
      </c>
      <c r="H276" s="36">
        <f>(1+I274)*(1+I275)*(1+I276)-1</f>
        <v>-7.0423316760999888E-2</v>
      </c>
      <c r="I276" s="4">
        <v>-5.0299999999999997E-2</v>
      </c>
      <c r="J276" s="4">
        <f t="shared" si="129"/>
        <v>0.90677357587965668</v>
      </c>
      <c r="K276" s="40">
        <f t="shared" si="117"/>
        <v>190.67735758796567</v>
      </c>
      <c r="L276" s="36">
        <f>(1+M274)*(1+M275)*(1+M276)-1</f>
        <v>-4.1983028217999929E-2</v>
      </c>
      <c r="M276" s="4">
        <v>-5.2600000000000001E-2</v>
      </c>
      <c r="N276" s="4">
        <f t="shared" si="131"/>
        <v>0.98007909563879037</v>
      </c>
      <c r="O276" s="40">
        <f t="shared" si="119"/>
        <v>198.00790956387914</v>
      </c>
      <c r="P276" s="36">
        <f>(1+Q274)*(1+Q275)*(1+Q276)-1</f>
        <v>-4.4080333375000058E-2</v>
      </c>
      <c r="Q276" s="4">
        <v>-3.7499999999999999E-2</v>
      </c>
      <c r="R276" s="4">
        <f t="shared" si="109"/>
        <v>1.0767595175685205</v>
      </c>
      <c r="S276" s="41">
        <f t="shared" si="120"/>
        <v>207.67595175685207</v>
      </c>
    </row>
    <row r="277" spans="1:19" ht="13.5" x14ac:dyDescent="0.25">
      <c r="A277" s="2">
        <v>45230</v>
      </c>
      <c r="B277" s="49">
        <v>2128712.9700000002</v>
      </c>
      <c r="C277" s="6">
        <v>7</v>
      </c>
      <c r="D277" s="37"/>
      <c r="E277" s="4">
        <v>-2.6599999999999999E-2</v>
      </c>
      <c r="F277" s="4">
        <f t="shared" ref="F277:F282" si="132">(F276+1)*(E277+1)-1</f>
        <v>0.75042716227741946</v>
      </c>
      <c r="G277" s="40">
        <f t="shared" si="115"/>
        <v>175.04271622774201</v>
      </c>
      <c r="H277" s="37"/>
      <c r="I277" s="4">
        <v>-2.52E-2</v>
      </c>
      <c r="J277" s="4">
        <f t="shared" si="129"/>
        <v>0.85872288176748923</v>
      </c>
      <c r="K277" s="40">
        <f t="shared" si="117"/>
        <v>185.87228817674892</v>
      </c>
      <c r="L277" s="37"/>
      <c r="M277" s="4">
        <v>-5.3400000000000003E-2</v>
      </c>
      <c r="N277" s="4">
        <f t="shared" ref="N277:N282" si="133">(N276+1)*(M277+1)-1</f>
        <v>0.87434287193167903</v>
      </c>
      <c r="O277" s="40">
        <f t="shared" si="119"/>
        <v>187.43428719316799</v>
      </c>
      <c r="P277" s="37"/>
      <c r="Q277" s="4">
        <v>-3.0799502899751419E-2</v>
      </c>
      <c r="R277" s="4">
        <f t="shared" si="109"/>
        <v>1.0127963567850826</v>
      </c>
      <c r="S277" s="41">
        <f t="shared" si="120"/>
        <v>201.27963567850827</v>
      </c>
    </row>
    <row r="278" spans="1:19" ht="13.5" x14ac:dyDescent="0.25">
      <c r="A278" s="2">
        <v>45260</v>
      </c>
      <c r="B278" s="49">
        <v>2281826.62</v>
      </c>
      <c r="C278" s="6">
        <v>7</v>
      </c>
      <c r="D278" s="37"/>
      <c r="E278" s="4">
        <v>7.2900000000000006E-2</v>
      </c>
      <c r="F278" s="4">
        <f t="shared" si="132"/>
        <v>0.87803330240744337</v>
      </c>
      <c r="G278" s="40">
        <f t="shared" si="115"/>
        <v>187.8033302407444</v>
      </c>
      <c r="H278" s="37"/>
      <c r="I278" s="4">
        <v>7.2900000000000006E-2</v>
      </c>
      <c r="J278" s="4">
        <f t="shared" si="129"/>
        <v>0.9942237798483391</v>
      </c>
      <c r="K278" s="40">
        <f t="shared" si="117"/>
        <v>199.4223779848339</v>
      </c>
      <c r="L278" s="37"/>
      <c r="M278" s="4">
        <v>8.5099999999999995E-2</v>
      </c>
      <c r="N278" s="4">
        <f t="shared" si="133"/>
        <v>1.0338494503330646</v>
      </c>
      <c r="O278" s="40">
        <f t="shared" si="119"/>
        <v>203.38494503330656</v>
      </c>
      <c r="P278" s="37"/>
      <c r="Q278" s="4">
        <v>7.1111063620626913E-2</v>
      </c>
      <c r="R278" s="4">
        <f t="shared" si="109"/>
        <v>1.1559284465677928</v>
      </c>
      <c r="S278" s="41">
        <f t="shared" si="120"/>
        <v>215.59284465677928</v>
      </c>
    </row>
    <row r="279" spans="1:19" ht="13.5" x14ac:dyDescent="0.25">
      <c r="A279" s="2">
        <v>45291</v>
      </c>
      <c r="B279" s="49">
        <v>2408720.7599999998</v>
      </c>
      <c r="C279" s="6">
        <v>7</v>
      </c>
      <c r="D279" s="36">
        <f>(1+E277)*(1+E278)*(1+E279)-1</f>
        <v>0.10336724859000013</v>
      </c>
      <c r="E279" s="4">
        <v>5.6500000000000002E-2</v>
      </c>
      <c r="F279" s="4">
        <f t="shared" si="132"/>
        <v>0.98414218399346387</v>
      </c>
      <c r="G279" s="40">
        <f t="shared" si="115"/>
        <v>198.41421839934645</v>
      </c>
      <c r="H279" s="36">
        <f>(1+I277)*(1+I278)*(1+I279)-1</f>
        <v>0.10505876127199998</v>
      </c>
      <c r="I279" s="4">
        <v>5.6599999999999998E-2</v>
      </c>
      <c r="J279" s="4">
        <f t="shared" si="129"/>
        <v>1.1070968457877552</v>
      </c>
      <c r="K279" s="40">
        <f t="shared" si="117"/>
        <v>210.70968457877549</v>
      </c>
      <c r="L279" s="36">
        <f>(1+M277)*(1+M278)*(1+M279)-1</f>
        <v>0.11672363355199988</v>
      </c>
      <c r="M279" s="4">
        <v>8.72E-2</v>
      </c>
      <c r="N279" s="4">
        <f t="shared" si="133"/>
        <v>1.211201122402108</v>
      </c>
      <c r="O279" s="40">
        <f t="shared" si="119"/>
        <v>221.12011224021089</v>
      </c>
      <c r="P279" s="36">
        <f>(1+Q277)*(1+Q278)*(1+Q279)-1</f>
        <v>0.11319386909693452</v>
      </c>
      <c r="Q279" s="4">
        <v>7.2315719116928356E-2</v>
      </c>
      <c r="R279" s="4">
        <f t="shared" si="109"/>
        <v>1.311835962545985</v>
      </c>
      <c r="S279" s="41">
        <f t="shared" si="120"/>
        <v>231.18359625459848</v>
      </c>
    </row>
    <row r="280" spans="1:19" ht="13.5" x14ac:dyDescent="0.25">
      <c r="A280" s="2">
        <v>45322</v>
      </c>
      <c r="B280" s="49">
        <v>2372516.65</v>
      </c>
      <c r="C280" s="6">
        <v>7</v>
      </c>
      <c r="D280" s="37"/>
      <c r="E280" s="4">
        <v>-1.43E-2</v>
      </c>
      <c r="F280" s="4">
        <f t="shared" si="132"/>
        <v>0.95576895076235746</v>
      </c>
      <c r="G280" s="40">
        <f t="shared" si="115"/>
        <v>195.57689507623581</v>
      </c>
      <c r="H280" s="37"/>
      <c r="I280" s="4">
        <v>-1.2500000000000001E-2</v>
      </c>
      <c r="J280" s="4">
        <f t="shared" si="129"/>
        <v>1.0807581352154085</v>
      </c>
      <c r="K280" s="40">
        <f t="shared" si="117"/>
        <v>208.07581352154082</v>
      </c>
      <c r="L280" s="37"/>
      <c r="M280" s="4">
        <v>-1.7100000000000001E-2</v>
      </c>
      <c r="N280" s="4">
        <f t="shared" si="133"/>
        <v>1.173389583209032</v>
      </c>
      <c r="O280" s="40">
        <f t="shared" si="119"/>
        <v>217.33895832090329</v>
      </c>
      <c r="P280" s="37"/>
      <c r="Q280" s="4">
        <v>-2.366E-2</v>
      </c>
      <c r="R280" s="4">
        <f t="shared" si="109"/>
        <v>1.2571379236721469</v>
      </c>
      <c r="S280" s="41">
        <f t="shared" si="120"/>
        <v>225.71379236721469</v>
      </c>
    </row>
    <row r="281" spans="1:19" ht="13.5" x14ac:dyDescent="0.25">
      <c r="A281" s="2">
        <v>45351</v>
      </c>
      <c r="B281" s="49">
        <v>2450831.06</v>
      </c>
      <c r="C281" s="6">
        <v>7</v>
      </c>
      <c r="D281" s="37"/>
      <c r="E281" s="4">
        <v>3.39E-2</v>
      </c>
      <c r="F281" s="4">
        <f t="shared" si="132"/>
        <v>1.0220695181932014</v>
      </c>
      <c r="G281" s="40">
        <f t="shared" si="115"/>
        <v>202.20695181932021</v>
      </c>
      <c r="H281" s="37"/>
      <c r="I281" s="4">
        <v>3.39E-2</v>
      </c>
      <c r="J281" s="4">
        <f t="shared" si="129"/>
        <v>1.1512958359992109</v>
      </c>
      <c r="K281" s="40">
        <f t="shared" si="117"/>
        <v>215.12958359992106</v>
      </c>
      <c r="L281" s="37"/>
      <c r="M281" s="4">
        <v>5.9400000000000001E-2</v>
      </c>
      <c r="N281" s="4">
        <f t="shared" si="133"/>
        <v>1.3024889244516484</v>
      </c>
      <c r="O281" s="40">
        <f t="shared" si="119"/>
        <v>230.24889244516493</v>
      </c>
      <c r="P281" s="37"/>
      <c r="Q281" s="4">
        <v>3.8300000000000001E-2</v>
      </c>
      <c r="R281" s="4">
        <f t="shared" si="109"/>
        <v>1.34358630614879</v>
      </c>
      <c r="S281" s="41">
        <f t="shared" si="120"/>
        <v>234.35863061487902</v>
      </c>
    </row>
    <row r="282" spans="1:19" ht="13.5" x14ac:dyDescent="0.25">
      <c r="A282" s="2">
        <v>45382</v>
      </c>
      <c r="B282" s="49">
        <v>2537512.77</v>
      </c>
      <c r="C282" s="6">
        <v>7</v>
      </c>
      <c r="D282" s="36">
        <f>(1+E280)*(1+E281)*(1+E282)-1</f>
        <v>5.580337828000026E-2</v>
      </c>
      <c r="E282" s="4">
        <v>3.5999999999999997E-2</v>
      </c>
      <c r="F282" s="4">
        <f t="shared" si="132"/>
        <v>1.0948640208481568</v>
      </c>
      <c r="G282" s="40">
        <f t="shared" si="115"/>
        <v>209.48640208481575</v>
      </c>
      <c r="H282" s="36">
        <f>(1+I280)*(1+I281)*(1+I282)-1</f>
        <v>5.7731395000000241E-2</v>
      </c>
      <c r="I282" s="4">
        <v>3.5999999999999997E-2</v>
      </c>
      <c r="J282" s="4">
        <f t="shared" si="129"/>
        <v>1.2287424860951828</v>
      </c>
      <c r="K282" s="40">
        <f t="shared" si="117"/>
        <v>222.87424860951822</v>
      </c>
      <c r="L282" s="36">
        <f>(1+M280)*(1+M281)*(1+M282)-1</f>
        <v>9.9596178559999915E-2</v>
      </c>
      <c r="M282" s="4">
        <v>5.6000000000000001E-2</v>
      </c>
      <c r="N282" s="4">
        <f t="shared" si="133"/>
        <v>1.4314283042209408</v>
      </c>
      <c r="O282" s="40">
        <f t="shared" si="119"/>
        <v>243.14283042209416</v>
      </c>
      <c r="P282" s="36">
        <f>(1+Q280)*(1+Q281)*(1+Q282)-1</f>
        <v>7.3909061673920196E-2</v>
      </c>
      <c r="Q282" s="4">
        <v>5.9360000000000003E-2</v>
      </c>
      <c r="R282" s="4">
        <f t="shared" si="109"/>
        <v>1.4827015892817825</v>
      </c>
      <c r="S282" s="41">
        <f t="shared" si="120"/>
        <v>248.27015892817826</v>
      </c>
    </row>
    <row r="283" spans="1:19" ht="13.5" x14ac:dyDescent="0.25">
      <c r="A283" s="2">
        <v>45412</v>
      </c>
      <c r="B283" s="49">
        <v>2415049.23</v>
      </c>
      <c r="C283" s="6">
        <v>7</v>
      </c>
      <c r="D283" s="37"/>
      <c r="E283" s="4">
        <v>-4.7399999999999998E-2</v>
      </c>
      <c r="F283" s="4">
        <f t="shared" ref="F283:F288" si="134">(F282+1)*(E283+1)-1</f>
        <v>0.99556746625995429</v>
      </c>
      <c r="G283" s="40">
        <f t="shared" si="115"/>
        <v>199.55674662599549</v>
      </c>
      <c r="H283" s="37"/>
      <c r="I283" s="4">
        <v>-4.5699999999999998E-2</v>
      </c>
      <c r="J283" s="4">
        <f t="shared" si="129"/>
        <v>1.1268889544806329</v>
      </c>
      <c r="K283" s="40">
        <f t="shared" si="117"/>
        <v>212.68889544806325</v>
      </c>
      <c r="L283" s="37"/>
      <c r="M283" s="4">
        <v>-6.0199999999999997E-2</v>
      </c>
      <c r="N283" s="4">
        <f t="shared" ref="N283:N288" si="135">(N282+1)*(M283+1)-1</f>
        <v>1.2850563203068401</v>
      </c>
      <c r="O283" s="40">
        <f t="shared" si="119"/>
        <v>228.5056320306841</v>
      </c>
      <c r="P283" s="37"/>
      <c r="Q283" s="4">
        <v>-4.0386014761426114E-2</v>
      </c>
      <c r="R283" s="4">
        <f t="shared" si="109"/>
        <v>1.3824351662488326</v>
      </c>
      <c r="S283" s="41">
        <f t="shared" si="120"/>
        <v>238.24351662488326</v>
      </c>
    </row>
    <row r="284" spans="1:19" ht="13.5" x14ac:dyDescent="0.25">
      <c r="A284" s="2">
        <v>45443</v>
      </c>
      <c r="B284" s="49">
        <v>2390726.4300000002</v>
      </c>
      <c r="C284" s="6">
        <v>7</v>
      </c>
      <c r="D284" s="37"/>
      <c r="E284" s="4">
        <v>-9.1000000000000004E-3</v>
      </c>
      <c r="F284" s="4">
        <f t="shared" si="134"/>
        <v>0.97740780231698876</v>
      </c>
      <c r="G284" s="40">
        <f t="shared" si="115"/>
        <v>197.74078023169892</v>
      </c>
      <c r="H284" s="37"/>
      <c r="I284" s="4">
        <v>-9.1000000000000004E-3</v>
      </c>
      <c r="J284" s="4">
        <f t="shared" si="129"/>
        <v>1.1075342649948592</v>
      </c>
      <c r="K284" s="40">
        <f t="shared" si="117"/>
        <v>210.75342649948587</v>
      </c>
      <c r="L284" s="37"/>
      <c r="M284" s="4">
        <v>4.3900000000000002E-2</v>
      </c>
      <c r="N284" s="4">
        <f t="shared" si="135"/>
        <v>1.3853702927683105</v>
      </c>
      <c r="O284" s="40">
        <f t="shared" si="119"/>
        <v>238.53702927683113</v>
      </c>
      <c r="P284" s="37"/>
      <c r="Q284" s="4">
        <v>4.8928448914005163E-3</v>
      </c>
      <c r="R284" s="4">
        <f t="shared" si="109"/>
        <v>1.3940920519811062</v>
      </c>
      <c r="S284" s="41">
        <f t="shared" si="120"/>
        <v>239.40920519811061</v>
      </c>
    </row>
    <row r="285" spans="1:19" ht="13.5" x14ac:dyDescent="0.25">
      <c r="A285" s="2">
        <v>45473</v>
      </c>
      <c r="B285" s="49">
        <v>2372908.27</v>
      </c>
      <c r="C285" s="6">
        <v>7</v>
      </c>
      <c r="D285" s="36">
        <f>(1+E283)*(1+E284)*(1+E285)-1</f>
        <v>-6.2204213709999956E-2</v>
      </c>
      <c r="E285" s="4">
        <v>-6.4999999999999997E-3</v>
      </c>
      <c r="F285" s="4">
        <f t="shared" si="134"/>
        <v>0.96455465160192833</v>
      </c>
      <c r="G285" s="40">
        <f t="shared" si="115"/>
        <v>196.45546516019289</v>
      </c>
      <c r="H285" s="36">
        <f>(1+I283)*(1+I284)*(1+I285)-1</f>
        <v>-6.0530633154999958E-2</v>
      </c>
      <c r="I285" s="4">
        <v>-6.4999999999999997E-3</v>
      </c>
      <c r="J285" s="4">
        <f t="shared" si="129"/>
        <v>1.0938352922723928</v>
      </c>
      <c r="K285" s="40">
        <f t="shared" si="117"/>
        <v>209.38352922723922</v>
      </c>
      <c r="L285" s="36">
        <f>(1+M283)*(1+M284)*(1+M285)-1</f>
        <v>-3.4443484075999953E-2</v>
      </c>
      <c r="M285" s="4">
        <v>-1.5800000000000002E-2</v>
      </c>
      <c r="N285" s="4">
        <f t="shared" si="135"/>
        <v>1.3476814421425711</v>
      </c>
      <c r="O285" s="40">
        <f t="shared" si="119"/>
        <v>234.76814421425721</v>
      </c>
      <c r="P285" s="36">
        <f>(1+Q283)*(1+Q284)*(1+Q285)-1</f>
        <v>-5.4852905506081129E-2</v>
      </c>
      <c r="Q285" s="4">
        <v>-1.9871357217291385E-2</v>
      </c>
      <c r="R285" s="4">
        <f t="shared" ref="R285:R300" si="136">(R284+1)*(Q285+1)-1</f>
        <v>1.3465181936051116</v>
      </c>
      <c r="S285" s="41">
        <f t="shared" si="120"/>
        <v>234.65181936051115</v>
      </c>
    </row>
    <row r="286" spans="1:19" ht="13.5" x14ac:dyDescent="0.25">
      <c r="A286" s="2">
        <v>45504</v>
      </c>
      <c r="B286" s="49">
        <v>2536617.64</v>
      </c>
      <c r="C286" s="6">
        <v>7</v>
      </c>
      <c r="D286" s="37"/>
      <c r="E286" s="4">
        <v>6.9599999999999995E-2</v>
      </c>
      <c r="F286" s="4">
        <f t="shared" si="134"/>
        <v>1.1012876553534223</v>
      </c>
      <c r="G286" s="40">
        <f t="shared" si="115"/>
        <v>210.1287655353423</v>
      </c>
      <c r="H286" s="37"/>
      <c r="I286" s="4">
        <v>7.1499999999999994E-2</v>
      </c>
      <c r="J286" s="4">
        <f t="shared" si="129"/>
        <v>1.2435445156698686</v>
      </c>
      <c r="K286" s="40">
        <f t="shared" si="117"/>
        <v>224.3544515669868</v>
      </c>
      <c r="L286" s="37"/>
      <c r="M286" s="4">
        <v>5.8099999999999999E-2</v>
      </c>
      <c r="N286" s="4">
        <f t="shared" si="135"/>
        <v>1.4840817339310548</v>
      </c>
      <c r="O286" s="40">
        <f t="shared" si="119"/>
        <v>248.40817339310556</v>
      </c>
      <c r="P286" s="37"/>
      <c r="Q286" s="4">
        <v>9.4500000000000001E-2</v>
      </c>
      <c r="R286" s="4">
        <f t="shared" si="136"/>
        <v>1.5682641629007947</v>
      </c>
      <c r="S286" s="41">
        <f t="shared" si="120"/>
        <v>256.82641629007946</v>
      </c>
    </row>
    <row r="287" spans="1:19" ht="13.5" x14ac:dyDescent="0.25">
      <c r="A287" s="2">
        <v>45535</v>
      </c>
      <c r="B287" s="49">
        <v>2591422.9300000002</v>
      </c>
      <c r="C287" s="6">
        <v>7</v>
      </c>
      <c r="D287" s="37"/>
      <c r="E287" s="4">
        <v>1.5100000000000001E-2</v>
      </c>
      <c r="F287" s="4">
        <f t="shared" si="134"/>
        <v>1.1330170989492587</v>
      </c>
      <c r="G287" s="40">
        <f t="shared" si="115"/>
        <v>213.30170989492595</v>
      </c>
      <c r="H287" s="37"/>
      <c r="I287" s="4">
        <v>1.5100000000000001E-2</v>
      </c>
      <c r="J287" s="4">
        <f t="shared" si="129"/>
        <v>1.2774220378564833</v>
      </c>
      <c r="K287" s="40">
        <f t="shared" si="117"/>
        <v>227.74220378564829</v>
      </c>
      <c r="L287" s="37"/>
      <c r="M287" s="4">
        <v>-8.0000000000000004E-4</v>
      </c>
      <c r="N287" s="4">
        <f t="shared" si="135"/>
        <v>1.4820944685439099</v>
      </c>
      <c r="O287" s="40">
        <f t="shared" si="119"/>
        <v>248.20944685439108</v>
      </c>
      <c r="P287" s="37"/>
      <c r="Q287" s="4">
        <v>4.7000000000000002E-3</v>
      </c>
      <c r="R287" s="4">
        <f t="shared" si="136"/>
        <v>1.5803350044664284</v>
      </c>
      <c r="S287" s="41">
        <f t="shared" si="120"/>
        <v>258.03350044664285</v>
      </c>
    </row>
    <row r="288" spans="1:19" ht="13.5" x14ac:dyDescent="0.25">
      <c r="A288" s="2">
        <v>45565</v>
      </c>
      <c r="B288" s="49">
        <v>2649694.1</v>
      </c>
      <c r="C288" s="6">
        <v>7</v>
      </c>
      <c r="D288" s="36">
        <f>(1+E286)*(1+E287)*(1+E288)-1</f>
        <v>0.11094038227199987</v>
      </c>
      <c r="E288" s="4">
        <v>2.3199999999999998E-2</v>
      </c>
      <c r="F288" s="4">
        <f t="shared" si="134"/>
        <v>1.1825030956448819</v>
      </c>
      <c r="G288" s="40">
        <f t="shared" si="115"/>
        <v>218.25030956448825</v>
      </c>
      <c r="H288" s="36">
        <f>(1+I286)*(1+I287)*(1+I288)-1</f>
        <v>0.11291381787999999</v>
      </c>
      <c r="I288" s="4">
        <v>2.3199999999999998E-2</v>
      </c>
      <c r="J288" s="4">
        <f t="shared" si="129"/>
        <v>1.330258229134754</v>
      </c>
      <c r="K288" s="40">
        <f t="shared" si="117"/>
        <v>233.02582291347534</v>
      </c>
      <c r="L288" s="36">
        <f>(1+M286)*(1+M287)*(1+M288)-1</f>
        <v>6.9517660832000061E-2</v>
      </c>
      <c r="M288" s="4">
        <v>1.1599999999999999E-2</v>
      </c>
      <c r="N288" s="4">
        <f t="shared" si="135"/>
        <v>1.5108867643790194</v>
      </c>
      <c r="O288" s="40">
        <f t="shared" si="119"/>
        <v>251.08867643790202</v>
      </c>
      <c r="P288" s="36">
        <f>(1+Q286)*(1+Q287)*(1+Q288)-1</f>
        <v>0.11635874108000022</v>
      </c>
      <c r="Q288" s="4">
        <v>1.52E-2</v>
      </c>
      <c r="R288" s="4">
        <f t="shared" si="136"/>
        <v>1.6195560965343185</v>
      </c>
      <c r="S288" s="41">
        <f t="shared" si="120"/>
        <v>261.95560965343185</v>
      </c>
    </row>
    <row r="289" spans="1:19" ht="13.5" x14ac:dyDescent="0.25">
      <c r="A289" s="2">
        <v>45596</v>
      </c>
      <c r="B289" s="49">
        <v>2594033</v>
      </c>
      <c r="C289" s="6">
        <v>7</v>
      </c>
      <c r="D289" s="37"/>
      <c r="E289" s="4">
        <v>-2.0199999999999999E-2</v>
      </c>
      <c r="F289" s="4">
        <f t="shared" ref="F289:F294" si="137">(F288+1)*(E289+1)-1</f>
        <v>1.1384165331128551</v>
      </c>
      <c r="G289" s="40">
        <f t="shared" si="115"/>
        <v>213.8416533112856</v>
      </c>
      <c r="H289" s="37"/>
      <c r="I289" s="4">
        <v>-1.8499999999999999E-2</v>
      </c>
      <c r="J289" s="4">
        <f t="shared" si="129"/>
        <v>1.287148451895761</v>
      </c>
      <c r="K289" s="40">
        <f t="shared" si="117"/>
        <v>228.71484518957607</v>
      </c>
      <c r="L289" s="37"/>
      <c r="M289" s="4">
        <v>-7.1000000000000004E-3</v>
      </c>
      <c r="N289" s="4">
        <f t="shared" ref="N289:N294" si="138">(N288+1)*(M289+1)-1</f>
        <v>1.4930594683519285</v>
      </c>
      <c r="O289" s="40">
        <f t="shared" si="119"/>
        <v>249.30594683519291</v>
      </c>
      <c r="P289" s="37"/>
      <c r="Q289" s="4">
        <v>-1.47E-2</v>
      </c>
      <c r="R289" s="4">
        <f t="shared" si="136"/>
        <v>1.5810486219152637</v>
      </c>
      <c r="S289" s="41">
        <f t="shared" si="120"/>
        <v>258.10486219152637</v>
      </c>
    </row>
    <row r="290" spans="1:19" ht="13.5" x14ac:dyDescent="0.25">
      <c r="A290" s="2">
        <v>45626</v>
      </c>
      <c r="B290" s="49">
        <v>2927047</v>
      </c>
      <c r="C290" s="6">
        <v>7</v>
      </c>
      <c r="D290" s="37"/>
      <c r="E290" s="4">
        <v>5.5899999999999998E-2</v>
      </c>
      <c r="F290" s="4">
        <f t="shared" si="137"/>
        <v>1.2579540173138639</v>
      </c>
      <c r="G290" s="40">
        <f t="shared" si="115"/>
        <v>225.79540173138648</v>
      </c>
      <c r="H290" s="37"/>
      <c r="I290" s="4">
        <v>5.5899999999999998E-2</v>
      </c>
      <c r="J290" s="4">
        <f t="shared" si="129"/>
        <v>1.4150000503567344</v>
      </c>
      <c r="K290" s="40">
        <f t="shared" si="117"/>
        <v>241.50000503567338</v>
      </c>
      <c r="L290" s="37"/>
      <c r="M290" s="4">
        <v>8.8099999999999998E-2</v>
      </c>
      <c r="N290" s="4">
        <f t="shared" si="138"/>
        <v>1.7126980075137337</v>
      </c>
      <c r="O290" s="40">
        <f t="shared" si="119"/>
        <v>271.26980075137345</v>
      </c>
      <c r="P290" s="37"/>
      <c r="Q290" s="4">
        <v>9.6600000000000005E-2</v>
      </c>
      <c r="R290" s="4">
        <f t="shared" si="136"/>
        <v>1.8303779187922782</v>
      </c>
      <c r="S290" s="41">
        <f t="shared" si="120"/>
        <v>283.03779187922783</v>
      </c>
    </row>
    <row r="291" spans="1:19" ht="13.5" x14ac:dyDescent="0.25">
      <c r="A291" s="2">
        <v>45657</v>
      </c>
      <c r="B291" s="49">
        <v>2759502.22</v>
      </c>
      <c r="C291" s="6">
        <v>7</v>
      </c>
      <c r="D291" s="36">
        <f>(1+E289)*(1+E290)*(1+E291)-1</f>
        <v>-2.3985888411999889E-2</v>
      </c>
      <c r="E291" s="4">
        <v>-5.6599999999999998E-2</v>
      </c>
      <c r="F291" s="4">
        <f t="shared" si="137"/>
        <v>1.1301538199338994</v>
      </c>
      <c r="G291" s="40">
        <f t="shared" si="115"/>
        <v>213.01538199339001</v>
      </c>
      <c r="H291" s="36">
        <f>(1+I289)*(1+I290)*(1+I291)-1</f>
        <v>-2.229245710999983E-2</v>
      </c>
      <c r="I291" s="4">
        <v>-5.6599999999999998E-2</v>
      </c>
      <c r="J291" s="4">
        <f t="shared" si="129"/>
        <v>1.2783110475065431</v>
      </c>
      <c r="K291" s="40">
        <f t="shared" si="117"/>
        <v>227.83110475065428</v>
      </c>
      <c r="L291" s="36">
        <f>(1+M289)*(1+M290)*(1+M291)-1</f>
        <v>3.4518263120000281E-3</v>
      </c>
      <c r="M291" s="4">
        <v>-7.1199999999999999E-2</v>
      </c>
      <c r="N291" s="4">
        <f t="shared" si="138"/>
        <v>1.5195539093787556</v>
      </c>
      <c r="O291" s="40">
        <f t="shared" si="119"/>
        <v>251.95539093787565</v>
      </c>
      <c r="P291" s="36">
        <f>(1+Q289)*(1+Q290)*(1+Q291)-1</f>
        <v>-5.8503704019999825E-3</v>
      </c>
      <c r="Q291" s="4">
        <v>-7.9899999999999999E-2</v>
      </c>
      <c r="R291" s="4">
        <f t="shared" si="136"/>
        <v>1.6042307230807751</v>
      </c>
      <c r="S291" s="41">
        <f t="shared" si="120"/>
        <v>260.42307230807751</v>
      </c>
    </row>
    <row r="292" spans="1:19" ht="13.5" x14ac:dyDescent="0.25">
      <c r="A292" s="2">
        <v>45688</v>
      </c>
      <c r="B292" s="49">
        <v>2828379.49</v>
      </c>
      <c r="C292" s="6">
        <v>7</v>
      </c>
      <c r="D292" s="37"/>
      <c r="E292" s="4">
        <v>2.5700000000000001E-2</v>
      </c>
      <c r="F292" s="4">
        <f t="shared" si="137"/>
        <v>1.1848987731062008</v>
      </c>
      <c r="G292" s="40">
        <f t="shared" si="115"/>
        <v>218.48987731062013</v>
      </c>
      <c r="H292" s="37"/>
      <c r="I292" s="4">
        <v>2.75E-2</v>
      </c>
      <c r="J292" s="4">
        <f t="shared" si="129"/>
        <v>1.3409646013129732</v>
      </c>
      <c r="K292" s="40">
        <f t="shared" si="117"/>
        <v>234.09646013129728</v>
      </c>
      <c r="L292" s="37"/>
      <c r="M292" s="4">
        <v>3.85E-2</v>
      </c>
      <c r="N292" s="4">
        <f t="shared" si="138"/>
        <v>1.6165567348898375</v>
      </c>
      <c r="O292" s="40">
        <f t="shared" si="119"/>
        <v>261.65567348898384</v>
      </c>
      <c r="P292" s="37"/>
      <c r="Q292" s="4">
        <v>2.5600000000000001E-2</v>
      </c>
      <c r="R292" s="4">
        <f t="shared" si="136"/>
        <v>1.6708990295916433</v>
      </c>
      <c r="S292" s="41">
        <f t="shared" si="120"/>
        <v>267.08990295916431</v>
      </c>
    </row>
    <row r="293" spans="1:19" ht="13.5" x14ac:dyDescent="0.25">
      <c r="A293" s="2">
        <v>45716</v>
      </c>
      <c r="B293" s="49">
        <v>2763572.89</v>
      </c>
      <c r="C293" s="6">
        <v>7</v>
      </c>
      <c r="D293" s="37"/>
      <c r="E293" s="4">
        <v>-2.2200000000000001E-2</v>
      </c>
      <c r="F293" s="4">
        <f t="shared" si="137"/>
        <v>1.1363940203432432</v>
      </c>
      <c r="G293" s="40">
        <f t="shared" si="115"/>
        <v>213.63940203432438</v>
      </c>
      <c r="H293" s="37"/>
      <c r="I293" s="4">
        <v>-2.2200000000000001E-2</v>
      </c>
      <c r="J293" s="4">
        <f t="shared" si="129"/>
        <v>1.2889951871638252</v>
      </c>
      <c r="K293" s="40">
        <f t="shared" si="117"/>
        <v>228.89951871638249</v>
      </c>
      <c r="L293" s="37"/>
      <c r="M293" s="4">
        <v>-4.3499999999999997E-2</v>
      </c>
      <c r="N293" s="4">
        <f t="shared" si="138"/>
        <v>1.5027365169221296</v>
      </c>
      <c r="O293" s="40">
        <f t="shared" si="119"/>
        <v>250.27365169221304</v>
      </c>
      <c r="P293" s="37"/>
      <c r="Q293" s="4">
        <v>8.8000000000000005E-3</v>
      </c>
      <c r="R293" s="4">
        <f t="shared" si="136"/>
        <v>1.6944029410520494</v>
      </c>
      <c r="S293" s="41">
        <f t="shared" si="120"/>
        <v>269.44029410520494</v>
      </c>
    </row>
    <row r="294" spans="1:19" ht="13.5" x14ac:dyDescent="0.25">
      <c r="A294" s="2">
        <v>45747</v>
      </c>
      <c r="B294" s="49">
        <v>2738157.18</v>
      </c>
      <c r="C294" s="6">
        <v>7</v>
      </c>
      <c r="D294" s="36">
        <f>(1+E292)*(1+E293)*(1+E294)-1</f>
        <v>-1.0810673601999943E-2</v>
      </c>
      <c r="E294" s="4">
        <v>-1.37E-2</v>
      </c>
      <c r="F294" s="4">
        <f t="shared" si="137"/>
        <v>1.1071254222645406</v>
      </c>
      <c r="G294" s="40">
        <f t="shared" si="115"/>
        <v>210.71254222645413</v>
      </c>
      <c r="H294" s="36">
        <f>(1+I292)*(1+I293)*(1+I294)-1</f>
        <v>-9.0747461500000348E-3</v>
      </c>
      <c r="I294" s="4">
        <v>-1.37E-2</v>
      </c>
      <c r="J294" s="4">
        <f t="shared" si="129"/>
        <v>1.2576359530996806</v>
      </c>
      <c r="K294" s="40">
        <f t="shared" si="117"/>
        <v>225.76359530996803</v>
      </c>
      <c r="L294" s="36">
        <f>(1+M292)*(1+M293)*(1+M294)-1</f>
        <v>-6.1009641174999962E-2</v>
      </c>
      <c r="M294" s="4">
        <v>-5.4699999999999999E-2</v>
      </c>
      <c r="N294" s="4">
        <f t="shared" si="138"/>
        <v>1.3658368294464891</v>
      </c>
      <c r="O294" s="40">
        <f t="shared" si="119"/>
        <v>236.58368294464898</v>
      </c>
      <c r="P294" s="36">
        <f>(1+Q292)*(1+Q293)*(1+Q294)-1</f>
        <v>7.3111726079999606E-3</v>
      </c>
      <c r="Q294" s="4">
        <v>-2.64E-2</v>
      </c>
      <c r="R294" s="4">
        <f t="shared" si="136"/>
        <v>1.6232707034082754</v>
      </c>
      <c r="S294" s="41">
        <f t="shared" si="120"/>
        <v>262.32707034082756</v>
      </c>
    </row>
    <row r="295" spans="1:19" ht="13.5" x14ac:dyDescent="0.25">
      <c r="A295" s="2">
        <v>45777</v>
      </c>
      <c r="B295" s="49">
        <v>2584987.02</v>
      </c>
      <c r="C295" s="6">
        <v>7</v>
      </c>
      <c r="D295" s="37"/>
      <c r="E295" s="4">
        <v>-4.8599999999999997E-2</v>
      </c>
      <c r="F295" s="4">
        <f t="shared" ref="F295:F300" si="139">(F294+1)*(E295+1)-1</f>
        <v>1.0047191267424838</v>
      </c>
      <c r="G295" s="40">
        <f t="shared" si="115"/>
        <v>200.47191267424847</v>
      </c>
      <c r="H295" s="37"/>
      <c r="I295" s="4">
        <v>-4.6800000000000001E-2</v>
      </c>
      <c r="J295" s="4">
        <f t="shared" si="129"/>
        <v>1.1519785904946156</v>
      </c>
      <c r="K295" s="40">
        <f t="shared" si="117"/>
        <v>215.19785904946153</v>
      </c>
      <c r="L295" s="37"/>
      <c r="M295" s="4">
        <v>-2.2499999999999999E-2</v>
      </c>
      <c r="N295" s="4">
        <f t="shared" ref="N295:N300" si="140">(N294+1)*(M295+1)-1</f>
        <v>1.3126055007839432</v>
      </c>
      <c r="O295" s="40">
        <f t="shared" si="119"/>
        <v>231.2605500783944</v>
      </c>
      <c r="P295" s="37"/>
      <c r="Q295" s="4">
        <v>-2.4400000000000002E-2</v>
      </c>
      <c r="R295" s="4">
        <f t="shared" si="136"/>
        <v>1.5592628982451133</v>
      </c>
      <c r="S295" s="41">
        <f t="shared" si="120"/>
        <v>255.92628982451137</v>
      </c>
    </row>
    <row r="296" spans="1:19" ht="13.5" x14ac:dyDescent="0.25">
      <c r="A296" s="2">
        <v>45808</v>
      </c>
      <c r="B296" s="49">
        <v>1970835.17</v>
      </c>
      <c r="C296" s="6">
        <v>7</v>
      </c>
      <c r="D296" s="37"/>
      <c r="E296" s="4">
        <v>2.6700000000000002E-2</v>
      </c>
      <c r="F296" s="4">
        <f t="shared" si="139"/>
        <v>1.0582451274265079</v>
      </c>
      <c r="G296" s="40">
        <f t="shared" si="115"/>
        <v>205.82451274265088</v>
      </c>
      <c r="H296" s="37"/>
      <c r="I296" s="4">
        <v>2.6700000000000002E-2</v>
      </c>
      <c r="J296" s="4">
        <f t="shared" si="129"/>
        <v>1.2094364188608218</v>
      </c>
      <c r="K296" s="40">
        <f t="shared" si="117"/>
        <v>220.94364188608213</v>
      </c>
      <c r="L296" s="37"/>
      <c r="M296" s="4">
        <v>5.3999999999999999E-2</v>
      </c>
      <c r="N296" s="4">
        <f t="shared" si="140"/>
        <v>1.4374861978262761</v>
      </c>
      <c r="O296" s="40">
        <f t="shared" si="119"/>
        <v>243.74861978262771</v>
      </c>
      <c r="P296" s="37"/>
      <c r="Q296" s="4">
        <v>3.1699999999999999E-2</v>
      </c>
      <c r="R296" s="4">
        <f t="shared" si="136"/>
        <v>1.6403915321194837</v>
      </c>
      <c r="S296" s="41">
        <f t="shared" si="120"/>
        <v>264.03915321194842</v>
      </c>
    </row>
    <row r="297" spans="1:19" ht="13.5" x14ac:dyDescent="0.25">
      <c r="A297" s="2">
        <v>45838</v>
      </c>
      <c r="B297" s="49">
        <v>1972245.5</v>
      </c>
      <c r="C297" s="6">
        <v>7</v>
      </c>
      <c r="D297" s="36">
        <f>(1+E295)*(1+E296)*(1+E297)-1</f>
        <v>-2.2513858334000103E-2</v>
      </c>
      <c r="E297" s="4">
        <v>6.9999999999999999E-4</v>
      </c>
      <c r="F297" s="4">
        <f t="shared" si="139"/>
        <v>1.0596858990157063</v>
      </c>
      <c r="G297" s="40">
        <f t="shared" si="115"/>
        <v>205.96858990157071</v>
      </c>
      <c r="H297" s="36">
        <f>(1+I295)*(1+I296)*(1+I297)-1</f>
        <v>-2.0664504692000096E-2</v>
      </c>
      <c r="I297" s="4">
        <v>6.9999999999999999E-4</v>
      </c>
      <c r="J297" s="4">
        <f t="shared" si="129"/>
        <v>1.2109830243540243</v>
      </c>
      <c r="K297" s="40">
        <f t="shared" si="117"/>
        <v>221.09830243540236</v>
      </c>
      <c r="L297" s="36">
        <f>(1+M295)*(1+M296)*(1+M297)-1</f>
        <v>6.7169203000000177E-2</v>
      </c>
      <c r="M297" s="4">
        <v>3.5799999999999998E-2</v>
      </c>
      <c r="N297" s="4">
        <f t="shared" si="140"/>
        <v>1.524748203708457</v>
      </c>
      <c r="O297" s="40">
        <f t="shared" si="119"/>
        <v>252.4748203708458</v>
      </c>
      <c r="P297" s="36">
        <f>(1+Q295)*(1+Q296)*(1+Q297)-1</f>
        <v>1.7598311719999815E-2</v>
      </c>
      <c r="Q297" s="4">
        <v>1.0999999999999999E-2</v>
      </c>
      <c r="R297" s="4">
        <f t="shared" si="136"/>
        <v>1.6694358389727979</v>
      </c>
      <c r="S297" s="41">
        <f t="shared" si="120"/>
        <v>266.94358389727984</v>
      </c>
    </row>
    <row r="298" spans="1:19" ht="13.5" x14ac:dyDescent="0.25">
      <c r="A298" s="2">
        <v>45869</v>
      </c>
      <c r="B298" s="49">
        <v>1938178.97</v>
      </c>
      <c r="C298" s="6">
        <v>6</v>
      </c>
      <c r="D298" s="37"/>
      <c r="E298" s="4">
        <v>1.5299999999999999E-2</v>
      </c>
      <c r="F298" s="4">
        <f t="shared" si="139"/>
        <v>1.0911990932706468</v>
      </c>
      <c r="G298" s="40">
        <f t="shared" si="115"/>
        <v>209.11990932706476</v>
      </c>
      <c r="H298" s="37"/>
      <c r="I298" s="4">
        <v>1.6799999999999999E-2</v>
      </c>
      <c r="J298" s="4">
        <f t="shared" si="129"/>
        <v>1.2481275391631717</v>
      </c>
      <c r="K298" s="40">
        <f t="shared" si="117"/>
        <v>224.81275391631709</v>
      </c>
      <c r="L298" s="37"/>
      <c r="M298" s="4">
        <v>1.6199999999999999E-2</v>
      </c>
      <c r="N298" s="4">
        <f t="shared" si="140"/>
        <v>1.5656491246085338</v>
      </c>
      <c r="O298" s="40">
        <f t="shared" si="119"/>
        <v>256.56491246085352</v>
      </c>
      <c r="P298" s="37"/>
      <c r="Q298" s="4">
        <v>1.2999999999999999E-2</v>
      </c>
      <c r="R298" s="4">
        <f t="shared" si="136"/>
        <v>1.704138504879444</v>
      </c>
      <c r="S298" s="41">
        <f t="shared" si="120"/>
        <v>270.41385048794444</v>
      </c>
    </row>
    <row r="299" spans="1:19" ht="13.5" x14ac:dyDescent="0.25">
      <c r="A299" s="2">
        <v>45900</v>
      </c>
      <c r="B299" s="49">
        <v>1961298.44</v>
      </c>
      <c r="C299" s="6">
        <v>6</v>
      </c>
      <c r="D299" s="37"/>
      <c r="E299" s="4">
        <v>1.1900000000000001E-2</v>
      </c>
      <c r="F299" s="4">
        <f t="shared" si="139"/>
        <v>1.1160843624805676</v>
      </c>
      <c r="G299" s="40">
        <f t="shared" si="115"/>
        <v>211.60843624805685</v>
      </c>
      <c r="H299" s="37"/>
      <c r="I299" s="4">
        <v>1.1900000000000001E-2</v>
      </c>
      <c r="J299" s="4">
        <f t="shared" si="129"/>
        <v>1.2748802568792135</v>
      </c>
      <c r="K299" s="40">
        <f t="shared" si="117"/>
        <v>227.48802568792127</v>
      </c>
      <c r="L299" s="37"/>
      <c r="M299" s="4">
        <v>3.39E-2</v>
      </c>
      <c r="N299" s="4">
        <f t="shared" si="140"/>
        <v>1.6526246299327632</v>
      </c>
      <c r="O299" s="40">
        <f t="shared" si="119"/>
        <v>265.26246299327647</v>
      </c>
      <c r="P299" s="37"/>
      <c r="Q299" s="4">
        <v>4.0099999999999997E-2</v>
      </c>
      <c r="R299" s="4">
        <f t="shared" si="136"/>
        <v>1.8125744589251096</v>
      </c>
      <c r="S299" s="41">
        <f t="shared" si="120"/>
        <v>281.25744589251104</v>
      </c>
    </row>
    <row r="300" spans="1:19" ht="13.5" x14ac:dyDescent="0.25">
      <c r="A300" s="2">
        <v>45930</v>
      </c>
      <c r="B300" s="49">
        <v>1961697.53</v>
      </c>
      <c r="C300" s="6">
        <v>6</v>
      </c>
      <c r="D300" s="36">
        <f>(1+E298)*(1+E299)*(1+E300)-1</f>
        <v>2.7587546414000075E-2</v>
      </c>
      <c r="E300" s="4">
        <v>2.0000000000000001E-4</v>
      </c>
      <c r="F300" s="4">
        <f t="shared" si="139"/>
        <v>1.1165075793530637</v>
      </c>
      <c r="G300" s="40">
        <f t="shared" si="115"/>
        <v>211.65075793530644</v>
      </c>
      <c r="H300" s="36">
        <f>(1+I298)*(1+I299)*(1+I300)-1</f>
        <v>2.9105699984000033E-2</v>
      </c>
      <c r="I300" s="4">
        <v>2.0000000000000001E-4</v>
      </c>
      <c r="J300" s="4">
        <f t="shared" si="129"/>
        <v>1.2753352329305891</v>
      </c>
      <c r="K300" s="40">
        <f t="shared" si="117"/>
        <v>227.53352329305883</v>
      </c>
      <c r="L300" s="36">
        <f>(1+M298)*(1+M299)*(1+M300)-1</f>
        <v>5.5482166227999841E-2</v>
      </c>
      <c r="M300" s="4">
        <v>4.5999999999999999E-3</v>
      </c>
      <c r="N300" s="4">
        <f t="shared" si="140"/>
        <v>1.6648267032304536</v>
      </c>
      <c r="O300" s="40">
        <f t="shared" si="119"/>
        <v>266.48267032304551</v>
      </c>
      <c r="P300" s="36">
        <f>(1+Q298)*(1+Q299)*(1+Q300)-1</f>
        <v>5.3410575739999855E-2</v>
      </c>
      <c r="Q300" s="4">
        <v>-2.0000000000000001E-4</v>
      </c>
      <c r="R300" s="4">
        <f t="shared" si="136"/>
        <v>1.8120119440333244</v>
      </c>
      <c r="S300" s="41">
        <f t="shared" si="120"/>
        <v>281.20119440333252</v>
      </c>
    </row>
    <row r="301" spans="1:19" ht="13.5" x14ac:dyDescent="0.25">
      <c r="A301" s="2">
        <v>45961</v>
      </c>
      <c r="B301" s="49">
        <v>1947813.49</v>
      </c>
      <c r="C301" s="6">
        <v>6</v>
      </c>
      <c r="D301" s="37"/>
      <c r="E301" s="4">
        <v>-7.1000000000000004E-3</v>
      </c>
      <c r="F301" s="4">
        <f t="shared" ref="F301:F306" si="141">(F300+1)*(E301+1)-1</f>
        <v>1.1014803755396567</v>
      </c>
      <c r="G301" s="40">
        <f t="shared" ref="G301:G306" si="142">G300*(1+E301)</f>
        <v>210.14803755396576</v>
      </c>
      <c r="H301" s="37"/>
      <c r="I301" s="4">
        <v>-5.4000000000000003E-3</v>
      </c>
      <c r="J301" s="4">
        <f t="shared" ref="J301:J306" si="143">(J300+1)*(I301+1)-1</f>
        <v>1.2630484226727638</v>
      </c>
      <c r="K301" s="40">
        <f t="shared" ref="K301:K306" si="144">K300*(1+I301)</f>
        <v>226.30484226727631</v>
      </c>
      <c r="L301" s="37"/>
      <c r="M301" s="4">
        <v>-4.7000000000000002E-3</v>
      </c>
      <c r="N301" s="4">
        <f t="shared" ref="N301:N306" si="145">(N300+1)*(M301+1)-1</f>
        <v>1.6523020177252703</v>
      </c>
      <c r="O301" s="40">
        <f t="shared" ref="O301:O306" si="146">O300*(1+M301)</f>
        <v>265.23020177252721</v>
      </c>
      <c r="P301" s="37"/>
      <c r="Q301" s="4">
        <v>-4.3200000000000002E-2</v>
      </c>
      <c r="R301" s="4">
        <f t="shared" ref="R301:R306" si="147">(R300+1)*(Q301+1)-1</f>
        <v>1.6905330280510849</v>
      </c>
      <c r="S301" s="41">
        <f t="shared" ref="S301:S306" si="148">S300*(1+Q301)</f>
        <v>269.05330280510856</v>
      </c>
    </row>
    <row r="302" spans="1:19" ht="13.5" x14ac:dyDescent="0.25">
      <c r="A302" s="2">
        <v>45991</v>
      </c>
      <c r="B302" s="49">
        <v>2024362.08</v>
      </c>
      <c r="C302" s="6">
        <v>6</v>
      </c>
      <c r="D302" s="37"/>
      <c r="E302" s="4">
        <v>3.9300000000000002E-2</v>
      </c>
      <c r="F302" s="4">
        <f t="shared" si="141"/>
        <v>1.1840685542983649</v>
      </c>
      <c r="G302" s="40">
        <f t="shared" si="142"/>
        <v>218.40685542983658</v>
      </c>
      <c r="H302" s="37"/>
      <c r="I302" s="4">
        <v>3.9300000000000002E-2</v>
      </c>
      <c r="J302" s="4">
        <f t="shared" si="143"/>
        <v>1.3519862256838033</v>
      </c>
      <c r="K302" s="40">
        <f t="shared" si="144"/>
        <v>235.19862256838024</v>
      </c>
      <c r="L302" s="37"/>
      <c r="M302" s="4">
        <v>2.0500000000000001E-2</v>
      </c>
      <c r="N302" s="4">
        <f t="shared" si="145"/>
        <v>1.7066742090886384</v>
      </c>
      <c r="O302" s="40">
        <f t="shared" si="146"/>
        <v>270.66742090886402</v>
      </c>
      <c r="P302" s="37"/>
      <c r="Q302" s="4">
        <v>3.8800000000000001E-2</v>
      </c>
      <c r="R302" s="4">
        <f t="shared" si="147"/>
        <v>1.7949257095394668</v>
      </c>
      <c r="S302" s="41">
        <f t="shared" si="148"/>
        <v>279.49257095394677</v>
      </c>
    </row>
    <row r="303" spans="1:19" ht="13.5" x14ac:dyDescent="0.25">
      <c r="A303" s="2">
        <v>46022</v>
      </c>
      <c r="B303" s="49">
        <v>2046497.6</v>
      </c>
      <c r="C303" s="6">
        <v>6</v>
      </c>
      <c r="D303" s="36">
        <f>(1+E301)*(1+E302)*(1+E303)-1</f>
        <v>4.316890857299982E-2</v>
      </c>
      <c r="E303" s="4">
        <v>1.09E-2</v>
      </c>
      <c r="F303" s="4">
        <f t="shared" si="141"/>
        <v>1.207874901540217</v>
      </c>
      <c r="G303" s="40">
        <f t="shared" si="142"/>
        <v>220.78749015402178</v>
      </c>
      <c r="H303" s="36">
        <f>(1+I301)*(1+I302)*(1+I303)-1</f>
        <v>4.4954976801999891E-2</v>
      </c>
      <c r="I303" s="4">
        <v>1.09E-2</v>
      </c>
      <c r="J303" s="4">
        <f t="shared" si="143"/>
        <v>1.3776228755437567</v>
      </c>
      <c r="K303" s="40">
        <f t="shared" si="144"/>
        <v>237.76228755437558</v>
      </c>
      <c r="L303" s="36">
        <f>(1+M301)*(1+M302)*(1+M303)-1</f>
        <v>1.6414642554999803E-2</v>
      </c>
      <c r="M303" s="4">
        <v>6.9999999999999999E-4</v>
      </c>
      <c r="N303" s="4">
        <f t="shared" si="145"/>
        <v>1.7085688810350002</v>
      </c>
      <c r="O303" s="40">
        <f t="shared" si="146"/>
        <v>270.85688810350018</v>
      </c>
      <c r="P303" s="36">
        <f>(1+Q301)*(1+Q302)*(1+Q303)-1</f>
        <v>-4.5852742400001034E-3</v>
      </c>
      <c r="Q303" s="4">
        <v>1.5E-3</v>
      </c>
      <c r="R303" s="4">
        <f t="shared" si="147"/>
        <v>1.7991180981037762</v>
      </c>
      <c r="S303" s="41">
        <f t="shared" si="148"/>
        <v>279.91180981037769</v>
      </c>
    </row>
    <row r="304" spans="1:19" ht="13.5" x14ac:dyDescent="0.25">
      <c r="A304" s="2">
        <v>46053</v>
      </c>
      <c r="B304" s="57">
        <v>2150577.06</v>
      </c>
      <c r="C304" s="6">
        <v>6</v>
      </c>
      <c r="D304" s="36"/>
      <c r="E304" s="4">
        <v>5.0900000000000001E-2</v>
      </c>
      <c r="F304" s="4">
        <f t="shared" si="141"/>
        <v>1.3202557340286138</v>
      </c>
      <c r="G304" s="40">
        <f t="shared" si="142"/>
        <v>232.02557340286148</v>
      </c>
      <c r="H304" s="56"/>
      <c r="I304" s="4">
        <v>5.2600000000000001E-2</v>
      </c>
      <c r="J304" s="4">
        <f t="shared" si="143"/>
        <v>1.5026858387973583</v>
      </c>
      <c r="K304" s="40">
        <f t="shared" si="144"/>
        <v>250.26858387973573</v>
      </c>
      <c r="L304" s="56"/>
      <c r="M304" s="4">
        <v>4.0500000000000001E-2</v>
      </c>
      <c r="N304" s="4">
        <f t="shared" si="145"/>
        <v>1.8182659207169176</v>
      </c>
      <c r="O304" s="40">
        <f t="shared" si="146"/>
        <v>281.82659207169195</v>
      </c>
      <c r="P304" s="36"/>
      <c r="Q304" s="4">
        <v>4.6899999999999997E-2</v>
      </c>
      <c r="R304" s="4">
        <f t="shared" si="147"/>
        <v>1.9303967369048434</v>
      </c>
      <c r="S304" s="41">
        <f t="shared" si="148"/>
        <v>293.03967369048439</v>
      </c>
    </row>
    <row r="305" spans="1:19" ht="13.5" x14ac:dyDescent="0.25">
      <c r="A305" s="2">
        <v>46081</v>
      </c>
      <c r="B305" s="57">
        <v>2220408.7599999998</v>
      </c>
      <c r="C305" s="6">
        <v>6</v>
      </c>
      <c r="D305" s="36"/>
      <c r="E305" s="4">
        <v>3.2500000000000001E-2</v>
      </c>
      <c r="F305" s="4">
        <f t="shared" si="141"/>
        <v>1.3956640453845437</v>
      </c>
      <c r="G305" s="40">
        <f t="shared" si="142"/>
        <v>239.56640453845446</v>
      </c>
      <c r="H305" s="56"/>
      <c r="I305" s="4">
        <v>3.2500000000000001E-2</v>
      </c>
      <c r="J305" s="4">
        <f t="shared" si="143"/>
        <v>1.5840231285582722</v>
      </c>
      <c r="K305" s="40">
        <f t="shared" si="144"/>
        <v>258.40231285582712</v>
      </c>
      <c r="L305" s="56"/>
      <c r="M305" s="4">
        <v>4.1200000000000001E-2</v>
      </c>
      <c r="N305" s="4">
        <f t="shared" si="145"/>
        <v>1.9343784766504544</v>
      </c>
      <c r="O305" s="40">
        <f t="shared" si="146"/>
        <v>293.43784766504564</v>
      </c>
      <c r="P305" s="36"/>
      <c r="Q305" s="4">
        <v>4.19E-2</v>
      </c>
      <c r="R305" s="4">
        <f t="shared" si="147"/>
        <v>2.0531803601811562</v>
      </c>
      <c r="S305" s="41">
        <f t="shared" si="148"/>
        <v>305.31803601811572</v>
      </c>
    </row>
    <row r="306" spans="1:19" ht="13.5" x14ac:dyDescent="0.25">
      <c r="A306" s="2">
        <v>46112</v>
      </c>
      <c r="B306" s="57">
        <v>2088442.3</v>
      </c>
      <c r="C306" s="6">
        <v>6</v>
      </c>
      <c r="D306" s="36">
        <f>(1+E304)*(1+E305)*(1+E306)-1</f>
        <v>2.0602027550000068E-2</v>
      </c>
      <c r="E306" s="4">
        <v>-5.9400000000000001E-2</v>
      </c>
      <c r="F306" s="4">
        <f t="shared" si="141"/>
        <v>1.2533616010887019</v>
      </c>
      <c r="G306" s="40">
        <f t="shared" si="142"/>
        <v>225.33616010887027</v>
      </c>
      <c r="H306" s="56">
        <f>(1+I304)*(1+I305)*(1+I306)-1</f>
        <v>2.2253015700000045E-2</v>
      </c>
      <c r="I306" s="4">
        <v>-5.9400000000000001E-2</v>
      </c>
      <c r="J306" s="4">
        <f t="shared" si="143"/>
        <v>1.4305321547219108</v>
      </c>
      <c r="K306" s="40">
        <f t="shared" si="144"/>
        <v>243.053215472191</v>
      </c>
      <c r="L306" s="56">
        <f>(1+M304)*(1+M305)*(1+M306)-1</f>
        <v>2.4975032459999769E-2</v>
      </c>
      <c r="M306" s="4">
        <v>-5.3900000000000003E-2</v>
      </c>
      <c r="N306" s="4">
        <f t="shared" si="145"/>
        <v>1.7762154767589946</v>
      </c>
      <c r="O306" s="40">
        <f t="shared" si="146"/>
        <v>277.62154767589965</v>
      </c>
      <c r="P306" s="36">
        <f>(1+Q304)*(1+Q305)*(1+Q306)-1</f>
        <v>3.262732963699988E-2</v>
      </c>
      <c r="Q306" s="4">
        <v>-5.33E-2</v>
      </c>
      <c r="R306" s="4">
        <f t="shared" si="147"/>
        <v>1.8904458469835004</v>
      </c>
      <c r="S306" s="41">
        <f t="shared" si="148"/>
        <v>289.04458469835015</v>
      </c>
    </row>
    <row r="307" spans="1:19" ht="13.5" x14ac:dyDescent="0.25">
      <c r="A307" s="2">
        <v>46142</v>
      </c>
      <c r="B307" s="57">
        <v>2128742.08</v>
      </c>
      <c r="C307" s="6">
        <v>6</v>
      </c>
      <c r="D307" s="36"/>
      <c r="E307" s="4">
        <v>1.9300000000000001E-2</v>
      </c>
      <c r="F307" s="4">
        <f t="shared" ref="F307" si="149">(F306+1)*(E307+1)-1</f>
        <v>1.296851479989714</v>
      </c>
      <c r="G307" s="40">
        <f t="shared" ref="G307" si="150">G306*(1+E307)</f>
        <v>229.6851479989715</v>
      </c>
      <c r="H307" s="56"/>
      <c r="I307" s="4">
        <v>2.1000000000000001E-2</v>
      </c>
      <c r="J307" s="4">
        <f t="shared" ref="J307" si="151">(J306+1)*(I307+1)-1</f>
        <v>1.4815733299710705</v>
      </c>
      <c r="K307" s="40">
        <f t="shared" ref="K307" si="152">K306*(1+I307)</f>
        <v>248.15733299710698</v>
      </c>
      <c r="L307" s="56"/>
      <c r="M307" s="4">
        <v>7.8600000000000003E-2</v>
      </c>
      <c r="N307" s="4">
        <f t="shared" ref="N307" si="153">(N306+1)*(M307+1)-1</f>
        <v>1.9944260132322515</v>
      </c>
      <c r="O307" s="40">
        <f t="shared" ref="O307" si="154">O306*(1+M307)</f>
        <v>299.44260132322535</v>
      </c>
      <c r="P307" s="36"/>
      <c r="Q307" s="4">
        <v>5.1220000000000002E-2</v>
      </c>
      <c r="R307" s="4">
        <f t="shared" ref="R307" si="155">(R306+1)*(Q307+1)-1</f>
        <v>2.0384944832659952</v>
      </c>
      <c r="S307" s="41">
        <f t="shared" ref="S307" si="156">S306*(1+Q307)</f>
        <v>303.84944832659966</v>
      </c>
    </row>
    <row r="308" spans="1:19" ht="13.5" x14ac:dyDescent="0.25">
      <c r="A308" s="2">
        <v>46173</v>
      </c>
      <c r="B308" s="57">
        <v>2056583.58</v>
      </c>
      <c r="C308" s="6">
        <v>6</v>
      </c>
      <c r="D308" s="36"/>
      <c r="E308" s="4">
        <v>-3.39E-2</v>
      </c>
      <c r="F308" s="4">
        <f t="shared" ref="F308" si="157">(F307+1)*(E308+1)-1</f>
        <v>1.2189882148180624</v>
      </c>
      <c r="G308" s="40">
        <f t="shared" ref="G308" si="158">G307*(1+E308)</f>
        <v>221.89882148180635</v>
      </c>
      <c r="H308" s="56"/>
      <c r="I308" s="4">
        <v>-3.39E-2</v>
      </c>
      <c r="J308" s="4">
        <f t="shared" ref="J308" si="159">(J307+1)*(I308+1)-1</f>
        <v>1.3974479940850513</v>
      </c>
      <c r="K308" s="40">
        <f t="shared" ref="K308" si="160">K307*(1+I308)</f>
        <v>239.74479940850503</v>
      </c>
      <c r="L308" s="56"/>
      <c r="M308" s="4">
        <v>2.4500000000000001E-2</v>
      </c>
      <c r="N308" s="4">
        <f t="shared" ref="N308" si="161">(N307+1)*(M308+1)-1</f>
        <v>2.0677894505564418</v>
      </c>
      <c r="O308" s="40">
        <f t="shared" ref="O308" si="162">O307*(1+M308)</f>
        <v>306.77894505564439</v>
      </c>
      <c r="P308" s="36"/>
      <c r="Q308" s="4">
        <v>-2.9749999999999999E-2</v>
      </c>
      <c r="R308" s="4">
        <f t="shared" ref="R308" si="163">(R307+1)*(Q308+1)-1</f>
        <v>1.948099272388832</v>
      </c>
      <c r="S308" s="41">
        <f t="shared" ref="S308" si="164">S307*(1+Q308)</f>
        <v>294.80992723888335</v>
      </c>
    </row>
    <row r="309" spans="1:19" ht="13.5" x14ac:dyDescent="0.25">
      <c r="A309" s="2">
        <v>46203</v>
      </c>
      <c r="B309" s="57">
        <v>2121460.75</v>
      </c>
      <c r="C309" s="6">
        <v>6</v>
      </c>
      <c r="D309" s="36">
        <f>(1+E307)*(1+E308)*(1+E309)-1</f>
        <v>1.5765220495000287E-2</v>
      </c>
      <c r="E309" s="4">
        <v>3.15E-2</v>
      </c>
      <c r="F309" s="4">
        <f t="shared" ref="F309:F311" si="165">(F308+1)*(E309+1)-1</f>
        <v>1.2888863435848315</v>
      </c>
      <c r="G309" s="40">
        <f t="shared" ref="G309:G311" si="166">G308*(1+E309)</f>
        <v>228.88863435848327</v>
      </c>
      <c r="H309" s="56">
        <f>(1+I307)*(1+I308)*(1+I309)-1</f>
        <v>1.7459325149999927E-2</v>
      </c>
      <c r="I309" s="4">
        <v>3.15E-2</v>
      </c>
      <c r="J309" s="4">
        <f t="shared" ref="J309:J311" si="167">(J308+1)*(I309+1)-1</f>
        <v>1.4729676058987304</v>
      </c>
      <c r="K309" s="40">
        <f t="shared" ref="K309:K311" si="168">K308*(1+I309)</f>
        <v>247.29676058987295</v>
      </c>
      <c r="L309" s="56">
        <f>(1+M307)*(1+M308)*(1+M309)-1</f>
        <v>0.14469612262999987</v>
      </c>
      <c r="M309" s="4">
        <v>3.5900000000000001E-2</v>
      </c>
      <c r="N309" s="4">
        <f t="shared" ref="N309:N311" si="169">(N308+1)*(M309+1)-1</f>
        <v>2.1779230918314183</v>
      </c>
      <c r="O309" s="40">
        <f t="shared" ref="O309:O311" si="170">O308*(1+M309)</f>
        <v>317.79230918314204</v>
      </c>
      <c r="P309" s="36">
        <f>(1+Q307)*(1+Q308)*(1+Q309)-1</f>
        <v>6.6496549796200011E-2</v>
      </c>
      <c r="Q309" s="4">
        <v>4.564E-2</v>
      </c>
      <c r="R309" s="4">
        <f t="shared" ref="R309:R311" si="171">(R308+1)*(Q309+1)-1</f>
        <v>2.082650523180658</v>
      </c>
      <c r="S309" s="41">
        <f t="shared" ref="S309:S311" si="172">S308*(1+Q309)</f>
        <v>308.26505231806595</v>
      </c>
    </row>
    <row r="310" spans="1:19" ht="13.5" x14ac:dyDescent="0.25">
      <c r="A310" s="2">
        <v>46234</v>
      </c>
      <c r="B310" s="57">
        <v>2213814.25</v>
      </c>
      <c r="C310" s="6">
        <v>6</v>
      </c>
      <c r="D310" s="36"/>
      <c r="E310" s="4">
        <v>4.3499999999999997E-2</v>
      </c>
      <c r="F310" s="4">
        <f t="shared" si="165"/>
        <v>1.3884528995307717</v>
      </c>
      <c r="G310" s="40">
        <f t="shared" si="166"/>
        <v>238.84528995307733</v>
      </c>
      <c r="H310" s="56"/>
      <c r="I310" s="4">
        <v>4.53E-2</v>
      </c>
      <c r="J310" s="4">
        <f t="shared" si="167"/>
        <v>1.5849930384459427</v>
      </c>
      <c r="K310" s="40">
        <f t="shared" si="168"/>
        <v>258.49930384459418</v>
      </c>
      <c r="L310" s="56"/>
      <c r="M310" s="4">
        <v>-2.3800000000000002E-2</v>
      </c>
      <c r="N310" s="4">
        <f t="shared" si="169"/>
        <v>2.1022885222458303</v>
      </c>
      <c r="O310" s="40">
        <f t="shared" si="170"/>
        <v>310.22885222458325</v>
      </c>
      <c r="P310" s="36"/>
      <c r="Q310" s="4">
        <v>2.3599999999999999E-2</v>
      </c>
      <c r="R310" s="4">
        <f t="shared" si="171"/>
        <v>2.1554010755277218</v>
      </c>
      <c r="S310" s="41">
        <f t="shared" si="172"/>
        <v>315.54010755277233</v>
      </c>
    </row>
    <row r="311" spans="1:19" ht="13.5" x14ac:dyDescent="0.25">
      <c r="A311" s="2">
        <v>46265</v>
      </c>
      <c r="B311" s="57">
        <v>2255750.71</v>
      </c>
      <c r="C311" s="6">
        <v>6</v>
      </c>
      <c r="D311" s="36"/>
      <c r="E311" s="4">
        <v>1.89E-2</v>
      </c>
      <c r="F311" s="4">
        <f t="shared" si="165"/>
        <v>1.4335946593319031</v>
      </c>
      <c r="G311" s="40">
        <f t="shared" si="166"/>
        <v>243.35946593319048</v>
      </c>
      <c r="H311" s="56"/>
      <c r="I311" s="4">
        <v>1.89E-2</v>
      </c>
      <c r="J311" s="4">
        <f t="shared" si="167"/>
        <v>1.6338494068725709</v>
      </c>
      <c r="K311" s="40">
        <f t="shared" si="168"/>
        <v>263.38494068725697</v>
      </c>
      <c r="L311" s="56"/>
      <c r="M311" s="4">
        <v>1.5E-3</v>
      </c>
      <c r="N311" s="4">
        <f t="shared" si="169"/>
        <v>2.1069419550291992</v>
      </c>
      <c r="O311" s="40">
        <f t="shared" si="170"/>
        <v>310.69419550292014</v>
      </c>
      <c r="P311" s="36"/>
      <c r="Q311" s="4">
        <v>-9.7000000000000003E-3</v>
      </c>
      <c r="R311" s="4">
        <f t="shared" si="171"/>
        <v>2.1247936850951028</v>
      </c>
      <c r="S311" s="41">
        <f t="shared" si="172"/>
        <v>312.47936850951044</v>
      </c>
    </row>
    <row r="312" spans="1:19" ht="13.5" x14ac:dyDescent="0.25">
      <c r="A312" s="2">
        <v>46295</v>
      </c>
      <c r="B312" s="57">
        <v>2102528.13</v>
      </c>
      <c r="C312" s="6">
        <v>6</v>
      </c>
      <c r="D312" s="36">
        <f>(1+E310)*(1+E311)*(1+E312)-1</f>
        <v>-8.9706339849998651E-3</v>
      </c>
      <c r="E312" s="4">
        <v>-6.7900000000000002E-2</v>
      </c>
      <c r="F312" s="4">
        <f t="shared" ref="F312" si="173">(F311+1)*(E312+1)-1</f>
        <v>1.2683535819632672</v>
      </c>
      <c r="G312" s="40">
        <f t="shared" ref="G312" si="174">G311*(1+E312)</f>
        <v>226.83535819632687</v>
      </c>
      <c r="H312" s="56">
        <f>(1+I310)*(1+I311)*(1+I312)-1</f>
        <v>-7.2611439430000368E-3</v>
      </c>
      <c r="I312" s="4">
        <v>-6.7900000000000002E-2</v>
      </c>
      <c r="J312" s="4">
        <f t="shared" ref="J312" si="175">(J311+1)*(I312+1)-1</f>
        <v>1.4550110321459235</v>
      </c>
      <c r="K312" s="40">
        <f t="shared" ref="K312" si="176">K311*(1+I312)</f>
        <v>245.50110321459223</v>
      </c>
      <c r="L312" s="56">
        <f>(1+M310)*(1+M311)*(1+M312)-1</f>
        <v>-6.3593133459999951E-2</v>
      </c>
      <c r="M312" s="4">
        <v>-4.2200000000000001E-2</v>
      </c>
      <c r="N312" s="4">
        <f t="shared" ref="N312" si="177">(N311+1)*(M312+1)-1</f>
        <v>1.9758290045269669</v>
      </c>
      <c r="O312" s="40">
        <f t="shared" ref="O312" si="178">O311*(1+M312)</f>
        <v>297.58290045269689</v>
      </c>
      <c r="P312" s="36">
        <f>(1+Q310)*(1+Q311)*(1+Q312)-1</f>
        <v>-5.0190198040000022E-2</v>
      </c>
      <c r="Q312" s="4">
        <v>-6.3E-2</v>
      </c>
      <c r="R312" s="4">
        <f t="shared" ref="R312" si="179">(R311+1)*(Q312+1)-1</f>
        <v>1.9279316829341115</v>
      </c>
      <c r="S312" s="41">
        <f t="shared" ref="S312" si="180">S311*(1+Q312)</f>
        <v>292.79316829341127</v>
      </c>
    </row>
    <row r="313" spans="1:19" ht="13.5" x14ac:dyDescent="0.25">
      <c r="A313" s="2"/>
      <c r="B313" s="3"/>
      <c r="C313" s="6"/>
      <c r="D313" s="39"/>
      <c r="E313" s="4"/>
      <c r="F313" s="4"/>
      <c r="G313" s="4"/>
      <c r="H313" s="35"/>
      <c r="I313" s="4"/>
      <c r="J313" s="4"/>
      <c r="K313" s="12"/>
      <c r="M313" s="4"/>
      <c r="N313" s="4"/>
      <c r="Q313" s="4"/>
      <c r="R313" s="4"/>
    </row>
    <row r="314" spans="1:19" ht="13.5" x14ac:dyDescent="0.25">
      <c r="A314" s="2"/>
      <c r="B314" s="3"/>
      <c r="C314" s="6"/>
      <c r="D314" s="39"/>
      <c r="E314" s="4"/>
      <c r="F314" s="4"/>
      <c r="G314" s="4"/>
      <c r="H314" s="35"/>
      <c r="I314" s="4"/>
      <c r="J314" s="4"/>
      <c r="K314" s="12"/>
      <c r="M314" s="4"/>
      <c r="N314" s="4"/>
      <c r="Q314" s="4"/>
      <c r="R314" s="4"/>
    </row>
    <row r="315" spans="1:19" ht="15" x14ac:dyDescent="0.25">
      <c r="A315" s="11" t="s">
        <v>43</v>
      </c>
      <c r="B315" s="1"/>
      <c r="C315" s="1"/>
      <c r="D315" s="32"/>
      <c r="E315" s="1"/>
      <c r="F315" s="1"/>
      <c r="G315" s="1"/>
      <c r="H315" s="32"/>
      <c r="I315" s="1"/>
      <c r="J315" s="1"/>
      <c r="K315" s="13"/>
      <c r="M315" s="1"/>
      <c r="N315" s="1"/>
      <c r="Q315" s="1"/>
      <c r="R315" s="1"/>
    </row>
    <row r="316" spans="1:19" ht="40.5" x14ac:dyDescent="0.25">
      <c r="A316" s="7" t="s">
        <v>25</v>
      </c>
      <c r="B316" s="7" t="s">
        <v>1</v>
      </c>
      <c r="C316" s="7" t="s">
        <v>2</v>
      </c>
      <c r="D316" s="33" t="s">
        <v>55</v>
      </c>
      <c r="E316" s="7" t="s">
        <v>54</v>
      </c>
      <c r="F316" s="7" t="s">
        <v>5</v>
      </c>
      <c r="G316" s="7" t="s">
        <v>59</v>
      </c>
      <c r="H316" s="33" t="s">
        <v>52</v>
      </c>
      <c r="I316" s="7" t="s">
        <v>53</v>
      </c>
      <c r="J316" s="7" t="s">
        <v>4</v>
      </c>
      <c r="K316" s="14" t="s">
        <v>60</v>
      </c>
      <c r="L316" s="7" t="s">
        <v>61</v>
      </c>
      <c r="M316" s="7" t="s">
        <v>62</v>
      </c>
      <c r="N316" s="7" t="s">
        <v>73</v>
      </c>
      <c r="O316" s="7" t="s">
        <v>72</v>
      </c>
      <c r="P316" s="33" t="s">
        <v>89</v>
      </c>
      <c r="Q316" s="7" t="s">
        <v>90</v>
      </c>
      <c r="R316" s="7" t="s">
        <v>91</v>
      </c>
      <c r="S316" s="14" t="s">
        <v>92</v>
      </c>
    </row>
    <row r="317" spans="1:19" ht="13.5" x14ac:dyDescent="0.25">
      <c r="A317" s="2">
        <v>42369</v>
      </c>
      <c r="B317" s="49">
        <v>0</v>
      </c>
      <c r="C317" s="6">
        <v>0</v>
      </c>
      <c r="D317" s="37"/>
      <c r="E317" s="4"/>
      <c r="F317" s="20">
        <v>1</v>
      </c>
      <c r="G317" s="41">
        <v>100</v>
      </c>
      <c r="H317" s="34"/>
      <c r="I317" s="4"/>
      <c r="J317" s="20">
        <v>1</v>
      </c>
      <c r="K317" s="41">
        <v>100</v>
      </c>
      <c r="M317" s="4"/>
      <c r="N317" s="20">
        <v>1</v>
      </c>
      <c r="O317" s="41">
        <v>100</v>
      </c>
      <c r="Q317" s="4"/>
      <c r="R317" s="20">
        <v>1</v>
      </c>
      <c r="S317" s="41">
        <v>100</v>
      </c>
    </row>
    <row r="318" spans="1:19" ht="13.5" x14ac:dyDescent="0.25">
      <c r="A318" s="2">
        <v>42400</v>
      </c>
      <c r="B318" s="49">
        <v>819589.05</v>
      </c>
      <c r="C318" s="6">
        <v>2</v>
      </c>
      <c r="D318" s="37"/>
      <c r="E318" s="4">
        <v>-3.1699999999999999E-2</v>
      </c>
      <c r="F318" s="4">
        <f>(F317)*(E318+1)</f>
        <v>0.96830000000000005</v>
      </c>
      <c r="G318" s="41">
        <f>G317*(1+E318)</f>
        <v>96.83</v>
      </c>
      <c r="H318" s="34"/>
      <c r="I318" s="4">
        <v>-2.8000000000000001E-2</v>
      </c>
      <c r="J318" s="4">
        <f>(J317)*(I318+1)</f>
        <v>0.97199999999999998</v>
      </c>
      <c r="K318" s="41">
        <f>K317*(1+I318)</f>
        <v>97.2</v>
      </c>
      <c r="M318" s="4">
        <v>-5.6399999999999999E-2</v>
      </c>
      <c r="N318" s="4">
        <f>(N317)*(M318+1)</f>
        <v>0.94359999999999999</v>
      </c>
      <c r="O318" s="41">
        <f>O317*(1+M318)</f>
        <v>94.36</v>
      </c>
      <c r="Q318" s="4">
        <v>-8.0658365902798197E-3</v>
      </c>
      <c r="R318" s="4">
        <f>(R317)*(Q318+1)</f>
        <v>0.99193416340972018</v>
      </c>
      <c r="S318" s="41">
        <f>S317*(1+Q318)</f>
        <v>99.193416340972021</v>
      </c>
    </row>
    <row r="319" spans="1:19" ht="13.5" x14ac:dyDescent="0.25">
      <c r="A319" s="2">
        <v>42429</v>
      </c>
      <c r="B319" s="49">
        <v>826438.89</v>
      </c>
      <c r="C319" s="6">
        <v>2</v>
      </c>
      <c r="D319" s="37"/>
      <c r="E319" s="4">
        <v>8.0000000000000002E-3</v>
      </c>
      <c r="F319" s="4">
        <f>(E318+1)*(E319+1)-1</f>
        <v>-2.3953599999999908E-2</v>
      </c>
      <c r="G319" s="40">
        <f>G318*(1+E319)</f>
        <v>97.604640000000003</v>
      </c>
      <c r="H319" s="35"/>
      <c r="I319" s="4">
        <v>8.0000000000000002E-3</v>
      </c>
      <c r="J319" s="4">
        <f>(I318+1)*(I319+1)-1</f>
        <v>-2.022400000000002E-2</v>
      </c>
      <c r="K319" s="40">
        <f>K318*(1+I319)</f>
        <v>97.97760000000001</v>
      </c>
      <c r="M319" s="4">
        <v>-2.9999999999999997E-4</v>
      </c>
      <c r="N319" s="4">
        <f>(M318+1)*(M319+1)-1</f>
        <v>-5.6683079999999997E-2</v>
      </c>
      <c r="O319" s="40">
        <f>O318*(1+M319)</f>
        <v>94.331692000000004</v>
      </c>
      <c r="Q319" s="4">
        <v>2.8951599012459098E-2</v>
      </c>
      <c r="R319" s="4">
        <f>(Q318+1)*(Q319+1)-1</f>
        <v>2.0652243555517424E-2</v>
      </c>
      <c r="S319" s="40">
        <f>S318*(1+Q319)</f>
        <v>102.06522435555175</v>
      </c>
    </row>
    <row r="320" spans="1:19" ht="13.5" x14ac:dyDescent="0.25">
      <c r="A320" s="2">
        <v>42460</v>
      </c>
      <c r="B320" s="49">
        <v>879370.45</v>
      </c>
      <c r="C320" s="6">
        <v>2</v>
      </c>
      <c r="D320" s="36">
        <f>(1+E318)*(1+E319)*(1+E320)-1</f>
        <v>3.851336960000018E-2</v>
      </c>
      <c r="E320" s="4">
        <v>6.4000000000000001E-2</v>
      </c>
      <c r="F320" s="4">
        <f t="shared" ref="F320:F326" si="181">(F319+1)*(E320+1)-1</f>
        <v>3.851336960000018E-2</v>
      </c>
      <c r="G320" s="40">
        <f t="shared" ref="G320:G383" si="182">G319*(1+E320)</f>
        <v>103.85133696000001</v>
      </c>
      <c r="H320" s="36">
        <f>(1+I318)*(1+I319)*(1+I320)-1</f>
        <v>4.2971552000000024E-2</v>
      </c>
      <c r="I320" s="4">
        <v>6.4500000000000002E-2</v>
      </c>
      <c r="J320" s="4">
        <f t="shared" ref="J320:J351" si="183">(J319+1)*(I320+1)-1</f>
        <v>4.2971552000000024E-2</v>
      </c>
      <c r="K320" s="40">
        <f t="shared" ref="K320:K383" si="184">K319*(1+I320)</f>
        <v>104.29715520000001</v>
      </c>
      <c r="L320" s="36">
        <f>(1+M318)*(1+M319)*(1+M320)-1</f>
        <v>9.7264311680000937E-3</v>
      </c>
      <c r="M320" s="4">
        <v>7.0400000000000004E-2</v>
      </c>
      <c r="N320" s="4">
        <f t="shared" ref="N320:N326" si="185">(N319+1)*(M320+1)-1</f>
        <v>9.7264311680000937E-3</v>
      </c>
      <c r="O320" s="40">
        <f t="shared" ref="O320:O383" si="186">O319*(1+M320)</f>
        <v>100.9726431168</v>
      </c>
      <c r="P320" s="36">
        <f>(1+Q318)*(1+Q319)*(1+Q320)-1</f>
        <v>9.6284589482376726E-2</v>
      </c>
      <c r="Q320" s="4">
        <v>7.4101973913649907E-2</v>
      </c>
      <c r="R320" s="4">
        <f t="shared" ref="R320:R383" si="187">(R319+1)*(Q320+1)-1</f>
        <v>9.6284589482376726E-2</v>
      </c>
      <c r="S320" s="41">
        <f t="shared" ref="S320:S383" si="188">S319*(1+Q320)</f>
        <v>109.62845894823766</v>
      </c>
    </row>
    <row r="321" spans="1:19" ht="13.5" x14ac:dyDescent="0.25">
      <c r="A321" s="2">
        <v>42490</v>
      </c>
      <c r="B321" s="49">
        <v>883222.51</v>
      </c>
      <c r="C321" s="6">
        <v>2</v>
      </c>
      <c r="D321" s="37"/>
      <c r="E321" s="4">
        <v>4.4000000000000003E-3</v>
      </c>
      <c r="F321" s="4">
        <f t="shared" si="181"/>
        <v>4.3082828426240116E-2</v>
      </c>
      <c r="G321" s="40">
        <f t="shared" si="182"/>
        <v>104.30828284262401</v>
      </c>
      <c r="H321" s="35"/>
      <c r="I321" s="4">
        <v>7.9000000000000008E-3</v>
      </c>
      <c r="J321" s="4">
        <f t="shared" si="183"/>
        <v>5.1211027260799957E-2</v>
      </c>
      <c r="K321" s="40">
        <f t="shared" si="184"/>
        <v>105.12110272608001</v>
      </c>
      <c r="M321" s="4">
        <v>6.1999999999999998E-3</v>
      </c>
      <c r="N321" s="4">
        <f t="shared" si="185"/>
        <v>1.5986735041241706E-2</v>
      </c>
      <c r="O321" s="40">
        <f t="shared" si="186"/>
        <v>101.59867350412416</v>
      </c>
      <c r="Q321" s="4">
        <v>5.0521448887619301E-3</v>
      </c>
      <c r="R321" s="4">
        <f t="shared" si="187"/>
        <v>0.10182317806775854</v>
      </c>
      <c r="S321" s="41">
        <f t="shared" si="188"/>
        <v>110.18231780677586</v>
      </c>
    </row>
    <row r="322" spans="1:19" ht="13.5" x14ac:dyDescent="0.25">
      <c r="A322" s="2">
        <v>42521</v>
      </c>
      <c r="B322" s="49">
        <v>891547.98</v>
      </c>
      <c r="C322" s="6">
        <v>2</v>
      </c>
      <c r="D322" s="37"/>
      <c r="E322" s="4">
        <v>9.4000000000000004E-3</v>
      </c>
      <c r="F322" s="4">
        <f t="shared" si="181"/>
        <v>5.2887807013446864E-2</v>
      </c>
      <c r="G322" s="40">
        <f t="shared" si="182"/>
        <v>105.28878070134468</v>
      </c>
      <c r="H322" s="35"/>
      <c r="I322" s="4">
        <v>9.4000000000000004E-3</v>
      </c>
      <c r="J322" s="4">
        <f t="shared" si="183"/>
        <v>6.1092410917051643E-2</v>
      </c>
      <c r="K322" s="40">
        <f t="shared" si="184"/>
        <v>106.10924109170517</v>
      </c>
      <c r="M322" s="4">
        <v>1.7899999999999999E-2</v>
      </c>
      <c r="N322" s="4">
        <f t="shared" si="185"/>
        <v>3.4172897598479857E-2</v>
      </c>
      <c r="O322" s="40">
        <f t="shared" si="186"/>
        <v>103.41728975984799</v>
      </c>
      <c r="Q322" s="4">
        <v>1.04734706536067E-2</v>
      </c>
      <c r="R322" s="4">
        <f t="shared" si="187"/>
        <v>0.11336309078871487</v>
      </c>
      <c r="S322" s="41">
        <f t="shared" si="188"/>
        <v>111.33630907887149</v>
      </c>
    </row>
    <row r="323" spans="1:19" ht="13.5" x14ac:dyDescent="0.25">
      <c r="A323" s="2">
        <v>42551</v>
      </c>
      <c r="B323" s="49">
        <v>910613.13</v>
      </c>
      <c r="C323" s="6">
        <v>2</v>
      </c>
      <c r="D323" s="36">
        <f>(1+E321)*(1+E322)*(1+E323)-1</f>
        <v>3.5537565104000191E-2</v>
      </c>
      <c r="E323" s="4">
        <v>2.1399999999999999E-2</v>
      </c>
      <c r="F323" s="4">
        <f t="shared" si="181"/>
        <v>7.5419606083534818E-2</v>
      </c>
      <c r="G323" s="40">
        <f t="shared" si="182"/>
        <v>107.54196060835346</v>
      </c>
      <c r="H323" s="36">
        <f>(1+I321)*(1+I322)*(1+I323)-1</f>
        <v>3.9654756294000171E-2</v>
      </c>
      <c r="I323" s="4">
        <v>2.1899999999999999E-2</v>
      </c>
      <c r="J323" s="4">
        <f t="shared" si="183"/>
        <v>8.4330334716135047E-2</v>
      </c>
      <c r="K323" s="40">
        <f t="shared" si="184"/>
        <v>108.43303347161351</v>
      </c>
      <c r="L323" s="36">
        <f>(1+M321)*(1+M322)*(1+M323)-1</f>
        <v>2.6361823058000056E-2</v>
      </c>
      <c r="M323" s="4">
        <v>2.0999999999999999E-3</v>
      </c>
      <c r="N323" s="4">
        <f t="shared" si="185"/>
        <v>3.6344660683436558E-2</v>
      </c>
      <c r="O323" s="40">
        <f t="shared" si="186"/>
        <v>103.63446606834367</v>
      </c>
      <c r="P323" s="36">
        <f>(1+Q321)*(1+Q322)*(1+Q323)-1</f>
        <v>5.4002103978076921E-2</v>
      </c>
      <c r="Q323" s="4">
        <v>3.78341741638051E-2</v>
      </c>
      <c r="R323" s="4">
        <f t="shared" si="187"/>
        <v>0.15548626387316733</v>
      </c>
      <c r="S323" s="41">
        <f t="shared" si="188"/>
        <v>115.54862638731674</v>
      </c>
    </row>
    <row r="324" spans="1:19" ht="13.5" x14ac:dyDescent="0.25">
      <c r="A324" s="2">
        <v>42582</v>
      </c>
      <c r="B324" s="49">
        <v>698982.36</v>
      </c>
      <c r="C324" s="6">
        <v>1</v>
      </c>
      <c r="D324" s="37"/>
      <c r="E324" s="4">
        <v>2.9399999999999999E-2</v>
      </c>
      <c r="F324" s="4">
        <f t="shared" si="181"/>
        <v>0.10703694250239093</v>
      </c>
      <c r="G324" s="40">
        <f t="shared" si="182"/>
        <v>110.70369425023907</v>
      </c>
      <c r="H324" s="37"/>
      <c r="I324" s="4">
        <v>3.2599999999999997E-2</v>
      </c>
      <c r="J324" s="4">
        <f t="shared" si="183"/>
        <v>0.11967950362788105</v>
      </c>
      <c r="K324" s="40">
        <f t="shared" si="184"/>
        <v>111.96795036278812</v>
      </c>
      <c r="L324" s="37"/>
      <c r="M324" s="4">
        <v>3.9699999999999999E-2</v>
      </c>
      <c r="N324" s="4">
        <f t="shared" si="185"/>
        <v>7.7487543712569051E-2</v>
      </c>
      <c r="O324" s="40">
        <f t="shared" si="186"/>
        <v>107.74875437125692</v>
      </c>
      <c r="P324" s="37"/>
      <c r="Q324" s="4">
        <v>2.03745918304481E-2</v>
      </c>
      <c r="R324" s="4">
        <f t="shared" si="187"/>
        <v>0.1790288248652725</v>
      </c>
      <c r="S324" s="41">
        <f t="shared" si="188"/>
        <v>117.90288248652726</v>
      </c>
    </row>
    <row r="325" spans="1:19" ht="13.5" x14ac:dyDescent="0.25">
      <c r="A325" s="2">
        <v>42613</v>
      </c>
      <c r="B325" s="49">
        <v>801810.65</v>
      </c>
      <c r="C325" s="6">
        <v>2</v>
      </c>
      <c r="D325" s="37"/>
      <c r="E325" s="4">
        <v>1.6000000000000001E-3</v>
      </c>
      <c r="F325" s="4">
        <f t="shared" si="181"/>
        <v>0.10880820161039484</v>
      </c>
      <c r="G325" s="40">
        <f t="shared" si="182"/>
        <v>110.88082016103945</v>
      </c>
      <c r="H325" s="37"/>
      <c r="I325" s="4">
        <v>1.8E-3</v>
      </c>
      <c r="J325" s="4">
        <f t="shared" si="183"/>
        <v>0.12169492673441118</v>
      </c>
      <c r="K325" s="40">
        <f t="shared" si="184"/>
        <v>112.16949267344114</v>
      </c>
      <c r="L325" s="37"/>
      <c r="M325" s="4">
        <v>2.5000000000000001E-3</v>
      </c>
      <c r="N325" s="4">
        <f t="shared" si="185"/>
        <v>8.018126257185032E-2</v>
      </c>
      <c r="O325" s="40">
        <f t="shared" si="186"/>
        <v>108.01812625718506</v>
      </c>
      <c r="P325" s="37"/>
      <c r="Q325" s="4">
        <v>-9.9325552328565197E-3</v>
      </c>
      <c r="R325" s="4">
        <f t="shared" si="187"/>
        <v>0.16731805594116822</v>
      </c>
      <c r="S325" s="41">
        <f t="shared" si="188"/>
        <v>116.73180559411684</v>
      </c>
    </row>
    <row r="326" spans="1:19" ht="13.5" x14ac:dyDescent="0.25">
      <c r="A326" s="2">
        <v>42643</v>
      </c>
      <c r="B326" s="49">
        <v>799039.47</v>
      </c>
      <c r="C326" s="6">
        <v>2</v>
      </c>
      <c r="D326" s="36">
        <f>(1+E324)*(1+E325)*(1+E326)-1</f>
        <v>2.7438375360000267E-2</v>
      </c>
      <c r="E326" s="4">
        <v>-3.5000000000000001E-3</v>
      </c>
      <c r="F326" s="4">
        <f t="shared" si="181"/>
        <v>0.10492737290475862</v>
      </c>
      <c r="G326" s="40">
        <f t="shared" si="182"/>
        <v>110.49273729047582</v>
      </c>
      <c r="H326" s="36">
        <f>(1+I324)*(1+I325)*(1+I326)-1</f>
        <v>3.08380746200001E-2</v>
      </c>
      <c r="I326" s="4">
        <v>-3.5000000000000001E-3</v>
      </c>
      <c r="J326" s="4">
        <f t="shared" si="183"/>
        <v>0.11776899449084088</v>
      </c>
      <c r="K326" s="40">
        <f t="shared" si="184"/>
        <v>111.7768994490841</v>
      </c>
      <c r="L326" s="36">
        <f>(1+M324)*(1+M325)*(1+M326)-1</f>
        <v>4.3966928800000193E-2</v>
      </c>
      <c r="M326" s="4">
        <v>1.6000000000000001E-3</v>
      </c>
      <c r="N326" s="4">
        <f t="shared" si="185"/>
        <v>8.1909552591965307E-2</v>
      </c>
      <c r="O326" s="40">
        <f t="shared" si="186"/>
        <v>108.19095525919656</v>
      </c>
      <c r="P326" s="36">
        <f>(1+Q324)*(1+Q325)*(1+Q326)-1</f>
        <v>1.3683691701066092E-2</v>
      </c>
      <c r="Q326" s="4">
        <v>3.4091186300100303E-3</v>
      </c>
      <c r="R326" s="4">
        <f t="shared" si="187"/>
        <v>0.17129758167282438</v>
      </c>
      <c r="S326" s="41">
        <f t="shared" si="188"/>
        <v>117.12975816728245</v>
      </c>
    </row>
    <row r="327" spans="1:19" ht="13.5" x14ac:dyDescent="0.25">
      <c r="A327" s="2">
        <v>42674</v>
      </c>
      <c r="B327" s="49">
        <v>785421.89</v>
      </c>
      <c r="C327" s="6">
        <v>2</v>
      </c>
      <c r="D327" s="37"/>
      <c r="E327" s="4">
        <v>-1.7000000000000001E-2</v>
      </c>
      <c r="F327" s="4">
        <f t="shared" ref="F327:F332" si="189">(F326+1)*(E327+1)-1</f>
        <v>8.6143607565377645E-2</v>
      </c>
      <c r="G327" s="40">
        <f t="shared" si="182"/>
        <v>108.61436075653772</v>
      </c>
      <c r="H327" s="37"/>
      <c r="I327" s="4">
        <v>-1.3899999999999999E-2</v>
      </c>
      <c r="J327" s="4">
        <f t="shared" si="183"/>
        <v>0.10223200546741817</v>
      </c>
      <c r="K327" s="40">
        <f t="shared" si="184"/>
        <v>110.22320054674182</v>
      </c>
      <c r="L327" s="37"/>
      <c r="M327" s="4">
        <v>-2.1600000000000001E-2</v>
      </c>
      <c r="N327" s="4">
        <f t="shared" ref="N327:N332" si="190">(N326+1)*(M327+1)-1</f>
        <v>5.8540306255978836E-2</v>
      </c>
      <c r="O327" s="40">
        <f t="shared" si="186"/>
        <v>105.85403062559791</v>
      </c>
      <c r="P327" s="37"/>
      <c r="Q327" s="4">
        <v>-1.8865745664950698E-2</v>
      </c>
      <c r="R327" s="4">
        <f t="shared" si="187"/>
        <v>0.14920017939901298</v>
      </c>
      <c r="S327" s="41">
        <f t="shared" si="188"/>
        <v>114.92001793990131</v>
      </c>
    </row>
    <row r="328" spans="1:19" ht="13.5" x14ac:dyDescent="0.25">
      <c r="A328" s="2">
        <v>42704</v>
      </c>
      <c r="B328" s="49">
        <v>810346.47</v>
      </c>
      <c r="C328" s="6">
        <v>2</v>
      </c>
      <c r="D328" s="37"/>
      <c r="E328" s="4">
        <v>3.1699999999999999E-2</v>
      </c>
      <c r="F328" s="4">
        <f t="shared" si="189"/>
        <v>0.12057435992520027</v>
      </c>
      <c r="G328" s="40">
        <f t="shared" si="182"/>
        <v>112.05743599251997</v>
      </c>
      <c r="H328" s="37"/>
      <c r="I328" s="4">
        <v>3.2000000000000001E-2</v>
      </c>
      <c r="J328" s="4">
        <f t="shared" si="183"/>
        <v>0.13750342964237561</v>
      </c>
      <c r="K328" s="40">
        <f t="shared" si="184"/>
        <v>113.75034296423756</v>
      </c>
      <c r="L328" s="37"/>
      <c r="M328" s="4">
        <v>4.4699999999999997E-2</v>
      </c>
      <c r="N328" s="4">
        <f t="shared" si="190"/>
        <v>0.10585705794562106</v>
      </c>
      <c r="O328" s="40">
        <f t="shared" si="186"/>
        <v>110.58570579456213</v>
      </c>
      <c r="P328" s="37"/>
      <c r="Q328" s="4">
        <v>3.79366524806879E-2</v>
      </c>
      <c r="R328" s="4">
        <f t="shared" si="187"/>
        <v>0.19279698723561745</v>
      </c>
      <c r="S328" s="41">
        <f t="shared" si="188"/>
        <v>119.27969872356176</v>
      </c>
    </row>
    <row r="329" spans="1:19" ht="13.5" x14ac:dyDescent="0.25">
      <c r="A329" s="2">
        <v>42735</v>
      </c>
      <c r="B329" s="49">
        <v>824627.9</v>
      </c>
      <c r="C329" s="6">
        <v>2</v>
      </c>
      <c r="D329" s="36">
        <f>(1+E327)*(1+E328)*(1+E329)-1</f>
        <v>3.2010335360000308E-2</v>
      </c>
      <c r="E329" s="4">
        <v>1.7600000000000001E-2</v>
      </c>
      <c r="F329" s="4">
        <f t="shared" si="189"/>
        <v>0.14029646865988377</v>
      </c>
      <c r="G329" s="40">
        <f t="shared" si="182"/>
        <v>114.02964686598833</v>
      </c>
      <c r="H329" s="36">
        <f>(1+I327)*(1+I328)*(1+I329)-1</f>
        <v>3.5565931520000094E-2</v>
      </c>
      <c r="I329" s="4">
        <v>1.7600000000000001E-2</v>
      </c>
      <c r="J329" s="4">
        <f t="shared" si="183"/>
        <v>0.15752349000408139</v>
      </c>
      <c r="K329" s="40">
        <f t="shared" si="184"/>
        <v>115.75234900040815</v>
      </c>
      <c r="L329" s="36">
        <f>(1+M327)*(1+M328)*(1+M329)-1</f>
        <v>4.206610236000019E-2</v>
      </c>
      <c r="M329" s="4">
        <v>1.95E-2</v>
      </c>
      <c r="N329" s="4">
        <f t="shared" si="190"/>
        <v>0.12742127057556085</v>
      </c>
      <c r="O329" s="40">
        <f t="shared" si="186"/>
        <v>112.7421270575561</v>
      </c>
      <c r="P329" s="36">
        <f>(1+Q327)*(1+Q328)*(1+Q329)-1</f>
        <v>4.142684357355142E-2</v>
      </c>
      <c r="Q329" s="4">
        <v>2.2655788386819503E-2</v>
      </c>
      <c r="R329" s="4">
        <f t="shared" si="187"/>
        <v>0.2198207433668633</v>
      </c>
      <c r="S329" s="41">
        <f t="shared" si="188"/>
        <v>121.98207433668637</v>
      </c>
    </row>
    <row r="330" spans="1:19" ht="13.5" x14ac:dyDescent="0.25">
      <c r="A330" s="2">
        <v>42766</v>
      </c>
      <c r="B330" s="49">
        <v>1064064.78</v>
      </c>
      <c r="C330" s="6">
        <v>4</v>
      </c>
      <c r="D330" s="37"/>
      <c r="E330" s="4">
        <v>-2.5000000000000001E-3</v>
      </c>
      <c r="F330" s="4">
        <f t="shared" si="189"/>
        <v>0.13744572748823414</v>
      </c>
      <c r="G330" s="40">
        <f t="shared" si="182"/>
        <v>113.74457274882336</v>
      </c>
      <c r="H330" s="37"/>
      <c r="I330" s="4">
        <v>2.0000000000000001E-4</v>
      </c>
      <c r="J330" s="4">
        <f t="shared" si="183"/>
        <v>0.15775499470208221</v>
      </c>
      <c r="K330" s="40">
        <f t="shared" si="184"/>
        <v>115.77549947020823</v>
      </c>
      <c r="L330" s="37"/>
      <c r="M330" s="4">
        <v>1.8800000000000001E-2</v>
      </c>
      <c r="N330" s="4">
        <f t="shared" si="190"/>
        <v>0.14861679046238141</v>
      </c>
      <c r="O330" s="40">
        <f t="shared" si="186"/>
        <v>114.86167904623815</v>
      </c>
      <c r="P330" s="37"/>
      <c r="Q330" s="4">
        <v>1.51855591285519E-2</v>
      </c>
      <c r="R330" s="4">
        <f t="shared" si="187"/>
        <v>0.23834440339149499</v>
      </c>
      <c r="S330" s="41">
        <f t="shared" si="188"/>
        <v>123.83444033914954</v>
      </c>
    </row>
    <row r="331" spans="1:19" ht="13.5" x14ac:dyDescent="0.25">
      <c r="A331" s="2">
        <v>42794</v>
      </c>
      <c r="B331" s="49">
        <v>359494.61</v>
      </c>
      <c r="C331" s="6">
        <v>3</v>
      </c>
      <c r="D331" s="37"/>
      <c r="E331" s="4">
        <v>3.78E-2</v>
      </c>
      <c r="F331" s="4">
        <f t="shared" si="189"/>
        <v>0.18044117598728948</v>
      </c>
      <c r="G331" s="40">
        <f t="shared" si="182"/>
        <v>118.04411759872889</v>
      </c>
      <c r="H331" s="37"/>
      <c r="I331" s="4">
        <v>3.8399999999999997E-2</v>
      </c>
      <c r="J331" s="4">
        <f t="shared" si="183"/>
        <v>0.20221278649864205</v>
      </c>
      <c r="K331" s="40">
        <f t="shared" si="184"/>
        <v>120.22127864986423</v>
      </c>
      <c r="L331" s="37"/>
      <c r="M331" s="4">
        <v>3.7199999999999997E-2</v>
      </c>
      <c r="N331" s="4">
        <f t="shared" si="190"/>
        <v>0.19134533506758178</v>
      </c>
      <c r="O331" s="40">
        <f t="shared" si="186"/>
        <v>119.1345335067582</v>
      </c>
      <c r="P331" s="37"/>
      <c r="Q331" s="4">
        <v>2.84623654059524E-2</v>
      </c>
      <c r="R331" s="4">
        <f t="shared" si="187"/>
        <v>0.2735906142992397</v>
      </c>
      <c r="S331" s="41">
        <f t="shared" si="188"/>
        <v>127.35906142992403</v>
      </c>
    </row>
    <row r="332" spans="1:19" ht="13.5" x14ac:dyDescent="0.25">
      <c r="A332" s="2">
        <v>42825</v>
      </c>
      <c r="B332" s="49">
        <v>357641.11</v>
      </c>
      <c r="C332" s="6">
        <v>3</v>
      </c>
      <c r="D332" s="36">
        <f>(1+E330)*(1+E331)*(1+E332)-1</f>
        <v>2.982243139999996E-2</v>
      </c>
      <c r="E332" s="4">
        <v>-5.1999999999999998E-3</v>
      </c>
      <c r="F332" s="4">
        <f t="shared" si="189"/>
        <v>0.1743028818721557</v>
      </c>
      <c r="G332" s="40">
        <f t="shared" si="182"/>
        <v>117.4302881872155</v>
      </c>
      <c r="H332" s="36">
        <f>(1+I330)*(1+I331)*(1+I332)-1</f>
        <v>3.3206920063999945E-2</v>
      </c>
      <c r="I332" s="4">
        <v>-5.1999999999999998E-3</v>
      </c>
      <c r="J332" s="4">
        <f t="shared" si="183"/>
        <v>0.19596128000884905</v>
      </c>
      <c r="K332" s="40">
        <f t="shared" si="184"/>
        <v>119.59612800088495</v>
      </c>
      <c r="L332" s="36">
        <f>(1+M330)*(1+M331)*(1+M332)-1</f>
        <v>5.7439049551999855E-2</v>
      </c>
      <c r="M332" s="4">
        <v>6.9999999999999999E-4</v>
      </c>
      <c r="N332" s="4">
        <f t="shared" si="190"/>
        <v>0.1921792768021291</v>
      </c>
      <c r="O332" s="40">
        <f t="shared" si="186"/>
        <v>119.21792768021292</v>
      </c>
      <c r="P332" s="36">
        <f>(1+Q330)*(1+Q331)*(1+Q332)-1</f>
        <v>3.9224497656801693E-2</v>
      </c>
      <c r="Q332" s="4">
        <v>-4.6506428172162799E-3</v>
      </c>
      <c r="R332" s="4">
        <f t="shared" si="187"/>
        <v>0.26766759925677497</v>
      </c>
      <c r="S332" s="41">
        <f t="shared" si="188"/>
        <v>126.76675992567755</v>
      </c>
    </row>
    <row r="333" spans="1:19" ht="13.5" x14ac:dyDescent="0.25">
      <c r="A333" s="2">
        <v>42855</v>
      </c>
      <c r="B333" s="49">
        <v>356974.3</v>
      </c>
      <c r="C333" s="6">
        <v>3</v>
      </c>
      <c r="D333" s="37"/>
      <c r="E333" s="4">
        <v>-1.9E-3</v>
      </c>
      <c r="F333" s="4">
        <f t="shared" ref="F333:F338" si="191">(F332+1)*(E333+1)-1</f>
        <v>0.17207170639659863</v>
      </c>
      <c r="G333" s="40">
        <f t="shared" si="182"/>
        <v>117.20717063965978</v>
      </c>
      <c r="H333" s="37"/>
      <c r="I333" s="4">
        <v>-1E-4</v>
      </c>
      <c r="J333" s="4">
        <f t="shared" si="183"/>
        <v>0.19584168388084811</v>
      </c>
      <c r="K333" s="40">
        <f t="shared" si="184"/>
        <v>119.58416838808486</v>
      </c>
      <c r="L333" s="37"/>
      <c r="M333" s="4">
        <v>1.06E-2</v>
      </c>
      <c r="N333" s="4">
        <f t="shared" ref="N333:N338" si="192">(N332+1)*(M333+1)-1</f>
        <v>0.20481637713623169</v>
      </c>
      <c r="O333" s="40">
        <f t="shared" si="186"/>
        <v>120.48163771362317</v>
      </c>
      <c r="P333" s="37"/>
      <c r="Q333" s="4">
        <v>4.7453781701372001E-3</v>
      </c>
      <c r="R333" s="4">
        <f t="shared" si="187"/>
        <v>0.27368316140927829</v>
      </c>
      <c r="S333" s="41">
        <f t="shared" si="188"/>
        <v>127.36831614092789</v>
      </c>
    </row>
    <row r="334" spans="1:19" ht="13.5" x14ac:dyDescent="0.25">
      <c r="A334" s="2">
        <v>42886</v>
      </c>
      <c r="B334" s="49">
        <v>356560.68</v>
      </c>
      <c r="C334" s="6">
        <v>3</v>
      </c>
      <c r="D334" s="37"/>
      <c r="E334" s="4">
        <v>-1.1999999999999999E-3</v>
      </c>
      <c r="F334" s="4">
        <f t="shared" si="191"/>
        <v>0.17066522034892273</v>
      </c>
      <c r="G334" s="40">
        <f t="shared" si="182"/>
        <v>117.06652203489219</v>
      </c>
      <c r="H334" s="37"/>
      <c r="I334" s="4">
        <v>-5.9999999999999995E-4</v>
      </c>
      <c r="J334" s="4">
        <f t="shared" si="183"/>
        <v>0.19512417887051958</v>
      </c>
      <c r="K334" s="40">
        <f t="shared" si="184"/>
        <v>119.51241788705201</v>
      </c>
      <c r="L334" s="37"/>
      <c r="M334" s="4">
        <v>1.0200000000000001E-2</v>
      </c>
      <c r="N334" s="4">
        <f t="shared" si="192"/>
        <v>0.21710550418302121</v>
      </c>
      <c r="O334" s="40">
        <f t="shared" si="186"/>
        <v>121.71055041830213</v>
      </c>
      <c r="P334" s="37"/>
      <c r="Q334" s="4">
        <v>7.9591756887424907E-3</v>
      </c>
      <c r="R334" s="4">
        <f t="shared" si="187"/>
        <v>0.28382062946272768</v>
      </c>
      <c r="S334" s="41">
        <f t="shared" si="188"/>
        <v>128.38206294627284</v>
      </c>
    </row>
    <row r="335" spans="1:19" ht="13.5" x14ac:dyDescent="0.25">
      <c r="A335" s="2">
        <v>42916</v>
      </c>
      <c r="B335" s="49">
        <v>361338.64</v>
      </c>
      <c r="C335" s="6">
        <v>3</v>
      </c>
      <c r="D335" s="36">
        <f>(1+E333)*(1+E334)*(1+E335)-1</f>
        <v>1.0260770552000142E-2</v>
      </c>
      <c r="E335" s="4">
        <v>1.34E-2</v>
      </c>
      <c r="F335" s="4">
        <f t="shared" si="191"/>
        <v>0.18635213430159836</v>
      </c>
      <c r="G335" s="40">
        <f t="shared" si="182"/>
        <v>118.63521343015975</v>
      </c>
      <c r="H335" s="36">
        <f>(1+I333)*(1+I334)*(1+I335)-1</f>
        <v>1.2690680803999932E-2</v>
      </c>
      <c r="I335" s="4">
        <v>1.34E-2</v>
      </c>
      <c r="J335" s="4">
        <f t="shared" si="183"/>
        <v>0.2111388428673846</v>
      </c>
      <c r="K335" s="40">
        <f t="shared" si="184"/>
        <v>121.11388428673851</v>
      </c>
      <c r="L335" s="36">
        <f>(1+M333)*(1+M334)*(1+M335)-1</f>
        <v>3.0096293079999725E-2</v>
      </c>
      <c r="M335" s="4">
        <v>8.9999999999999993E-3</v>
      </c>
      <c r="N335" s="4">
        <f t="shared" si="192"/>
        <v>0.22805945372066838</v>
      </c>
      <c r="O335" s="40">
        <f t="shared" si="186"/>
        <v>122.80594537206684</v>
      </c>
      <c r="P335" s="36">
        <f>(1+Q333)*(1+Q334)*(1+Q335)-1</f>
        <v>2.082350562706381E-2</v>
      </c>
      <c r="Q335" s="4">
        <v>7.9795050377904405E-3</v>
      </c>
      <c r="R335" s="4">
        <f t="shared" si="187"/>
        <v>0.2940648826431449</v>
      </c>
      <c r="S335" s="41">
        <f t="shared" si="188"/>
        <v>129.40648826431456</v>
      </c>
    </row>
    <row r="336" spans="1:19" ht="13.5" x14ac:dyDescent="0.25">
      <c r="A336" s="2">
        <v>42947</v>
      </c>
      <c r="B336" s="49">
        <v>366614.84</v>
      </c>
      <c r="C336" s="6">
        <v>3</v>
      </c>
      <c r="D336" s="37"/>
      <c r="E336" s="4">
        <v>1.29E-2</v>
      </c>
      <c r="F336" s="4">
        <f t="shared" si="191"/>
        <v>0.20165607683408893</v>
      </c>
      <c r="G336" s="40">
        <f t="shared" si="182"/>
        <v>120.16560768340881</v>
      </c>
      <c r="H336" s="37"/>
      <c r="I336" s="4">
        <v>1.47E-2</v>
      </c>
      <c r="J336" s="4">
        <f t="shared" si="183"/>
        <v>0.22894258385753519</v>
      </c>
      <c r="K336" s="40">
        <f t="shared" si="184"/>
        <v>122.89425838575356</v>
      </c>
      <c r="L336" s="37"/>
      <c r="M336" s="4">
        <v>1.89E-2</v>
      </c>
      <c r="N336" s="4">
        <f t="shared" si="192"/>
        <v>0.25126977739598888</v>
      </c>
      <c r="O336" s="40">
        <f t="shared" si="186"/>
        <v>125.1269777395989</v>
      </c>
      <c r="P336" s="37"/>
      <c r="Q336" s="4">
        <v>6.7885749493881197E-3</v>
      </c>
      <c r="R336" s="4">
        <f t="shared" si="187"/>
        <v>0.30284973908833912</v>
      </c>
      <c r="S336" s="41">
        <f t="shared" si="188"/>
        <v>130.28497390883396</v>
      </c>
    </row>
    <row r="337" spans="1:19" ht="13.5" x14ac:dyDescent="0.25">
      <c r="A337" s="2">
        <v>42978</v>
      </c>
      <c r="B337" s="49">
        <v>365895.97</v>
      </c>
      <c r="C337" s="6">
        <v>3</v>
      </c>
      <c r="D337" s="37"/>
      <c r="E337" s="4">
        <v>-2E-3</v>
      </c>
      <c r="F337" s="4">
        <f t="shared" si="191"/>
        <v>0.19925276468042075</v>
      </c>
      <c r="G337" s="40">
        <f t="shared" si="182"/>
        <v>119.92527646804199</v>
      </c>
      <c r="H337" s="37"/>
      <c r="I337" s="4">
        <v>-1.2999999999999999E-3</v>
      </c>
      <c r="J337" s="4">
        <f t="shared" si="183"/>
        <v>0.22734495849852032</v>
      </c>
      <c r="K337" s="40">
        <f t="shared" si="184"/>
        <v>122.73449584985208</v>
      </c>
      <c r="L337" s="37"/>
      <c r="M337" s="4">
        <v>1.9E-3</v>
      </c>
      <c r="N337" s="4">
        <f t="shared" si="192"/>
        <v>0.25364718997304125</v>
      </c>
      <c r="O337" s="40">
        <f t="shared" si="186"/>
        <v>125.36471899730414</v>
      </c>
      <c r="P337" s="37"/>
      <c r="Q337" s="4">
        <v>-6.8520845855417596E-3</v>
      </c>
      <c r="R337" s="4">
        <f t="shared" si="187"/>
        <v>0.29392250247385476</v>
      </c>
      <c r="S337" s="41">
        <f t="shared" si="188"/>
        <v>129.39225024738553</v>
      </c>
    </row>
    <row r="338" spans="1:19" ht="13.5" x14ac:dyDescent="0.25">
      <c r="A338" s="2">
        <v>43008</v>
      </c>
      <c r="B338" s="49">
        <v>377106.19</v>
      </c>
      <c r="C338" s="6">
        <v>3</v>
      </c>
      <c r="D338" s="36">
        <f>(1+E336)*(1+E337)*(1+E338)-1</f>
        <v>4.180695051999983E-2</v>
      </c>
      <c r="E338" s="4">
        <v>3.0599999999999999E-2</v>
      </c>
      <c r="F338" s="4">
        <f t="shared" si="191"/>
        <v>0.23594989927964161</v>
      </c>
      <c r="G338" s="40">
        <f t="shared" si="182"/>
        <v>123.59498992796406</v>
      </c>
      <c r="H338" s="36">
        <f>(1+I336)*(1+I337)*(1+I338)-1</f>
        <v>4.4390345233999762E-2</v>
      </c>
      <c r="I338" s="4">
        <v>3.0599999999999999E-2</v>
      </c>
      <c r="J338" s="4">
        <f t="shared" si="183"/>
        <v>0.264901714228575</v>
      </c>
      <c r="K338" s="40">
        <f t="shared" si="184"/>
        <v>126.49017142285754</v>
      </c>
      <c r="L338" s="36">
        <f>(1+M336)*(1+M337)*(1+M338)-1</f>
        <v>4.574430620399994E-2</v>
      </c>
      <c r="M338" s="4">
        <v>2.4400000000000002E-2</v>
      </c>
      <c r="N338" s="4">
        <f t="shared" si="192"/>
        <v>0.28423618140838336</v>
      </c>
      <c r="O338" s="40">
        <f t="shared" si="186"/>
        <v>128.42361814083836</v>
      </c>
      <c r="P338" s="36">
        <f>(1+Q336)*(1+Q337)*(1+Q338)-1</f>
        <v>2.4656720359123252E-2</v>
      </c>
      <c r="Q338" s="4">
        <v>2.47694711591364E-2</v>
      </c>
      <c r="R338" s="4">
        <f t="shared" si="187"/>
        <v>0.32597227858103861</v>
      </c>
      <c r="S338" s="41">
        <f t="shared" si="188"/>
        <v>132.59722785810391</v>
      </c>
    </row>
    <row r="339" spans="1:19" ht="13.5" x14ac:dyDescent="0.25">
      <c r="A339" s="2">
        <v>43039</v>
      </c>
      <c r="B339" s="49">
        <v>379203.73</v>
      </c>
      <c r="C339" s="6">
        <v>3</v>
      </c>
      <c r="D339" s="37"/>
      <c r="E339" s="4">
        <v>5.5999999999999999E-3</v>
      </c>
      <c r="F339" s="4">
        <f t="shared" ref="F339:F344" si="193">(F338+1)*(E339+1)-1</f>
        <v>0.24287121871560768</v>
      </c>
      <c r="G339" s="40">
        <f t="shared" si="182"/>
        <v>124.28712187156067</v>
      </c>
      <c r="H339" s="37"/>
      <c r="I339" s="4">
        <v>7.4999999999999997E-3</v>
      </c>
      <c r="J339" s="4">
        <f t="shared" si="183"/>
        <v>0.27438847708528935</v>
      </c>
      <c r="K339" s="40">
        <f t="shared" si="184"/>
        <v>127.43884770852898</v>
      </c>
      <c r="L339" s="37"/>
      <c r="M339" s="4">
        <v>2.18E-2</v>
      </c>
      <c r="N339" s="4">
        <f t="shared" ref="N339:N344" si="194">(N338+1)*(M339+1)-1</f>
        <v>0.31223253016308616</v>
      </c>
      <c r="O339" s="40">
        <f t="shared" si="186"/>
        <v>131.22325301630863</v>
      </c>
      <c r="P339" s="37"/>
      <c r="Q339" s="4">
        <v>1.2471947513663898E-2</v>
      </c>
      <c r="R339" s="4">
        <f t="shared" si="187"/>
        <v>0.34250973524407469</v>
      </c>
      <c r="S339" s="41">
        <f t="shared" si="188"/>
        <v>134.2509735244075</v>
      </c>
    </row>
    <row r="340" spans="1:19" ht="13.5" x14ac:dyDescent="0.25">
      <c r="A340" s="2">
        <v>43069</v>
      </c>
      <c r="B340" s="49">
        <v>396568.79</v>
      </c>
      <c r="C340" s="6">
        <v>3</v>
      </c>
      <c r="D340" s="37"/>
      <c r="E340" s="4">
        <v>4.58E-2</v>
      </c>
      <c r="F340" s="4">
        <f t="shared" si="193"/>
        <v>0.29979472053278267</v>
      </c>
      <c r="G340" s="40">
        <f t="shared" si="182"/>
        <v>129.97947205327816</v>
      </c>
      <c r="H340" s="37"/>
      <c r="I340" s="4">
        <v>4.6399999999999997E-2</v>
      </c>
      <c r="J340" s="4">
        <f t="shared" si="183"/>
        <v>0.33352010242204688</v>
      </c>
      <c r="K340" s="40">
        <f t="shared" si="184"/>
        <v>133.35201024220473</v>
      </c>
      <c r="L340" s="37"/>
      <c r="M340" s="4">
        <v>3.04E-2</v>
      </c>
      <c r="N340" s="4">
        <f t="shared" si="194"/>
        <v>0.352124399080044</v>
      </c>
      <c r="O340" s="40">
        <f t="shared" si="186"/>
        <v>135.2124399080044</v>
      </c>
      <c r="P340" s="37"/>
      <c r="Q340" s="4">
        <v>4.0624453152756604E-2</v>
      </c>
      <c r="R340" s="4">
        <f t="shared" si="187"/>
        <v>0.39704845909061737</v>
      </c>
      <c r="S340" s="41">
        <f t="shared" si="188"/>
        <v>139.70484590906176</v>
      </c>
    </row>
    <row r="341" spans="1:19" ht="13.5" x14ac:dyDescent="0.25">
      <c r="A341" s="2">
        <v>43100</v>
      </c>
      <c r="B341" s="49">
        <v>402727.26</v>
      </c>
      <c r="C341" s="6">
        <v>3</v>
      </c>
      <c r="D341" s="36">
        <f>(1+E339)*(1+E340)*(1+E341)-1</f>
        <v>6.795715544000025E-2</v>
      </c>
      <c r="E341" s="4">
        <v>1.55E-2</v>
      </c>
      <c r="F341" s="4">
        <f t="shared" si="193"/>
        <v>0.31994153870104092</v>
      </c>
      <c r="G341" s="40">
        <f t="shared" si="182"/>
        <v>131.99415387010399</v>
      </c>
      <c r="H341" s="36">
        <f>(1+I339)*(1+I340)*(1+I341)-1</f>
        <v>7.0588844000000206E-2</v>
      </c>
      <c r="I341" s="4">
        <v>1.55E-2</v>
      </c>
      <c r="J341" s="4">
        <f t="shared" si="183"/>
        <v>0.35418966400958873</v>
      </c>
      <c r="K341" s="40">
        <f t="shared" si="184"/>
        <v>135.41896640095891</v>
      </c>
      <c r="L341" s="36">
        <f>(1+M339)*(1+M340)*(1+M341)-1</f>
        <v>6.3391347200000059E-2</v>
      </c>
      <c r="M341" s="4">
        <v>0.01</v>
      </c>
      <c r="N341" s="4">
        <f t="shared" si="194"/>
        <v>0.36564564307084435</v>
      </c>
      <c r="O341" s="40">
        <f t="shared" si="186"/>
        <v>136.56456430708445</v>
      </c>
      <c r="P341" s="36">
        <f>(1+Q339)*(1+Q340)*(1+Q341)-1</f>
        <v>6.1946332506523039E-2</v>
      </c>
      <c r="Q341" s="4">
        <v>7.9187941419267497E-3</v>
      </c>
      <c r="R341" s="4">
        <f t="shared" si="187"/>
        <v>0.40811139824445197</v>
      </c>
      <c r="S341" s="41">
        <f t="shared" si="188"/>
        <v>140.81113982444521</v>
      </c>
    </row>
    <row r="342" spans="1:19" ht="13.5" x14ac:dyDescent="0.25">
      <c r="A342" s="2">
        <v>43131</v>
      </c>
      <c r="B342" s="49">
        <v>415044.45</v>
      </c>
      <c r="C342" s="6">
        <v>3</v>
      </c>
      <c r="D342" s="37"/>
      <c r="E342" s="4">
        <v>3.0599999999999999E-2</v>
      </c>
      <c r="F342" s="4">
        <f t="shared" si="193"/>
        <v>0.3603317497852927</v>
      </c>
      <c r="G342" s="40">
        <f t="shared" si="182"/>
        <v>136.03317497852916</v>
      </c>
      <c r="H342" s="37"/>
      <c r="I342" s="4">
        <v>3.2500000000000001E-2</v>
      </c>
      <c r="J342" s="4">
        <f t="shared" si="183"/>
        <v>0.39820082808990032</v>
      </c>
      <c r="K342" s="40">
        <f t="shared" si="184"/>
        <v>139.82008280899007</v>
      </c>
      <c r="L342" s="37"/>
      <c r="M342" s="4">
        <v>5.2699999999999997E-2</v>
      </c>
      <c r="N342" s="4">
        <f t="shared" si="194"/>
        <v>0.43761516846067772</v>
      </c>
      <c r="O342" s="40">
        <f t="shared" si="186"/>
        <v>143.76151684606779</v>
      </c>
      <c r="P342" s="37"/>
      <c r="Q342" s="4">
        <v>2.10974943881574E-2</v>
      </c>
      <c r="R342" s="4">
        <f t="shared" si="187"/>
        <v>0.43781902056681488</v>
      </c>
      <c r="S342" s="41">
        <f t="shared" si="188"/>
        <v>143.7819020566815</v>
      </c>
    </row>
    <row r="343" spans="1:19" ht="13.5" x14ac:dyDescent="0.25">
      <c r="A343" s="2">
        <v>43159</v>
      </c>
      <c r="B343" s="49">
        <v>400206.73</v>
      </c>
      <c r="C343" s="6">
        <v>3</v>
      </c>
      <c r="D343" s="37"/>
      <c r="E343" s="4">
        <v>-3.5700000000000003E-2</v>
      </c>
      <c r="F343" s="4">
        <f t="shared" si="193"/>
        <v>0.31176790631795792</v>
      </c>
      <c r="G343" s="40">
        <f t="shared" si="182"/>
        <v>131.17679063179568</v>
      </c>
      <c r="H343" s="37"/>
      <c r="I343" s="4">
        <v>-3.5200000000000002E-2</v>
      </c>
      <c r="J343" s="4">
        <f t="shared" si="183"/>
        <v>0.34898415894113577</v>
      </c>
      <c r="K343" s="40">
        <f t="shared" si="184"/>
        <v>134.89841589411361</v>
      </c>
      <c r="L343" s="37"/>
      <c r="M343" s="4">
        <v>-3.6900000000000002E-2</v>
      </c>
      <c r="N343" s="4">
        <f t="shared" si="194"/>
        <v>0.38456716874447872</v>
      </c>
      <c r="O343" s="40">
        <f t="shared" si="186"/>
        <v>138.45671687444789</v>
      </c>
      <c r="P343" s="37"/>
      <c r="Q343" s="4">
        <v>-4.1852957632111797E-2</v>
      </c>
      <c r="R343" s="4">
        <f t="shared" si="187"/>
        <v>0.37764204201638751</v>
      </c>
      <c r="S343" s="41">
        <f t="shared" si="188"/>
        <v>137.76420420163876</v>
      </c>
    </row>
    <row r="344" spans="1:19" ht="13.5" x14ac:dyDescent="0.25">
      <c r="A344" s="2">
        <v>43190</v>
      </c>
      <c r="B344" s="49">
        <v>394305.44</v>
      </c>
      <c r="C344" s="6">
        <v>3</v>
      </c>
      <c r="D344" s="36">
        <f>(1+E342)*(1+E343)*(1+E344)-1</f>
        <v>-2.0801391426000015E-2</v>
      </c>
      <c r="E344" s="4">
        <v>-1.47E-2</v>
      </c>
      <c r="F344" s="4">
        <f t="shared" si="193"/>
        <v>0.29248491809508392</v>
      </c>
      <c r="G344" s="40">
        <f t="shared" si="182"/>
        <v>129.24849180950827</v>
      </c>
      <c r="H344" s="36">
        <f>(1+I342)*(1+I343)*(1+I344)-1</f>
        <v>-1.8487493200000094E-2</v>
      </c>
      <c r="I344" s="4">
        <v>-1.47E-2</v>
      </c>
      <c r="J344" s="4">
        <f t="shared" si="183"/>
        <v>0.32915409180470112</v>
      </c>
      <c r="K344" s="40">
        <f t="shared" si="184"/>
        <v>132.91540918047014</v>
      </c>
      <c r="L344" s="36">
        <f>(1+M342)*(1+M343)*(1+M344)-1</f>
        <v>-6.5231229370000809E-3</v>
      </c>
      <c r="M344" s="4">
        <v>-2.01E-2</v>
      </c>
      <c r="N344" s="4">
        <f t="shared" si="194"/>
        <v>0.35673736865271466</v>
      </c>
      <c r="O344" s="40">
        <f t="shared" si="186"/>
        <v>135.67373686527148</v>
      </c>
      <c r="P344" s="36">
        <f>(1+Q342)*(1+Q343)*(1+Q344)-1</f>
        <v>-2.5425185544702522E-2</v>
      </c>
      <c r="Q344" s="4">
        <v>-3.8704809938195899E-3</v>
      </c>
      <c r="R344" s="4">
        <f t="shared" si="187"/>
        <v>0.37230990467647618</v>
      </c>
      <c r="S344" s="41">
        <f t="shared" si="188"/>
        <v>137.23099046764764</v>
      </c>
    </row>
    <row r="345" spans="1:19" ht="13.5" x14ac:dyDescent="0.25">
      <c r="A345" s="2">
        <v>43220</v>
      </c>
      <c r="B345" s="49">
        <v>1046257.46</v>
      </c>
      <c r="C345" s="6">
        <v>5</v>
      </c>
      <c r="D345" s="37"/>
      <c r="E345" s="4">
        <v>6.1000000000000004E-3</v>
      </c>
      <c r="F345" s="4">
        <f t="shared" ref="F345:F350" si="195">(F344+1)*(E345+1)-1</f>
        <v>0.30036907609546404</v>
      </c>
      <c r="G345" s="40">
        <f t="shared" si="182"/>
        <v>130.03690760954626</v>
      </c>
      <c r="H345" s="37"/>
      <c r="I345" s="4">
        <v>8.0000000000000002E-3</v>
      </c>
      <c r="J345" s="4">
        <f t="shared" si="183"/>
        <v>0.33978732453913874</v>
      </c>
      <c r="K345" s="40">
        <f t="shared" si="184"/>
        <v>133.97873245391389</v>
      </c>
      <c r="L345" s="37"/>
      <c r="M345" s="4">
        <v>3.8E-3</v>
      </c>
      <c r="N345" s="4">
        <f t="shared" ref="N345:N350" si="196">(N344+1)*(M345+1)-1</f>
        <v>0.36189297065359494</v>
      </c>
      <c r="O345" s="40">
        <f t="shared" si="186"/>
        <v>136.18929706535951</v>
      </c>
      <c r="P345" s="37"/>
      <c r="Q345" s="4">
        <v>1.2543640768388799E-2</v>
      </c>
      <c r="R345" s="4">
        <f t="shared" si="187"/>
        <v>0.38952366714363973</v>
      </c>
      <c r="S345" s="41">
        <f t="shared" si="188"/>
        <v>138.95236671436399</v>
      </c>
    </row>
    <row r="346" spans="1:19" ht="13.5" x14ac:dyDescent="0.25">
      <c r="A346" s="2">
        <v>43251</v>
      </c>
      <c r="B346" s="49">
        <v>1057801.32</v>
      </c>
      <c r="C346" s="6">
        <v>5</v>
      </c>
      <c r="D346" s="37"/>
      <c r="E346" s="4">
        <v>1.0999999999999999E-2</v>
      </c>
      <c r="F346" s="4">
        <f t="shared" si="195"/>
        <v>0.31467313593251411</v>
      </c>
      <c r="G346" s="40">
        <f t="shared" si="182"/>
        <v>131.46731359325125</v>
      </c>
      <c r="H346" s="37"/>
      <c r="I346" s="4">
        <v>1.12E-2</v>
      </c>
      <c r="J346" s="4">
        <f t="shared" si="183"/>
        <v>0.35479294257397731</v>
      </c>
      <c r="K346" s="40">
        <f t="shared" si="184"/>
        <v>135.47929425739775</v>
      </c>
      <c r="L346" s="37"/>
      <c r="M346" s="4">
        <v>2.8199999999999999E-2</v>
      </c>
      <c r="N346" s="4">
        <f t="shared" si="196"/>
        <v>0.4002983524260264</v>
      </c>
      <c r="O346" s="40">
        <f t="shared" si="186"/>
        <v>140.02983524260264</v>
      </c>
      <c r="P346" s="37"/>
      <c r="Q346" s="4">
        <v>1.38022901350001E-2</v>
      </c>
      <c r="R346" s="4">
        <f t="shared" si="187"/>
        <v>0.40870227594700559</v>
      </c>
      <c r="S346" s="41">
        <f t="shared" si="188"/>
        <v>140.87022759470057</v>
      </c>
    </row>
    <row r="347" spans="1:19" ht="13.5" x14ac:dyDescent="0.25">
      <c r="A347" s="2">
        <v>43281</v>
      </c>
      <c r="B347" s="49">
        <v>1070580.95</v>
      </c>
      <c r="C347" s="6">
        <v>5</v>
      </c>
      <c r="D347" s="36">
        <f>(1+E345)*(1+E346)*(1+E347)-1</f>
        <v>2.947482191000006E-2</v>
      </c>
      <c r="E347" s="4">
        <v>1.21E-2</v>
      </c>
      <c r="F347" s="4">
        <f t="shared" si="195"/>
        <v>0.33058068087729753</v>
      </c>
      <c r="G347" s="40">
        <f t="shared" si="182"/>
        <v>133.05806808772959</v>
      </c>
      <c r="H347" s="36">
        <f>(1+I345)*(1+I346)*(1+I347)-1</f>
        <v>3.1623004160000079E-2</v>
      </c>
      <c r="I347" s="4">
        <v>1.21E-2</v>
      </c>
      <c r="J347" s="4">
        <f t="shared" si="183"/>
        <v>0.3711859371791224</v>
      </c>
      <c r="K347" s="40">
        <f t="shared" si="184"/>
        <v>137.11859371791226</v>
      </c>
      <c r="L347" s="36">
        <f>(1+M345)*(1+M346)*(1+M347)-1</f>
        <v>3.8815856540000082E-2</v>
      </c>
      <c r="M347" s="4">
        <v>6.4999999999999997E-3</v>
      </c>
      <c r="N347" s="4">
        <f t="shared" si="196"/>
        <v>0.40940029171679559</v>
      </c>
      <c r="O347" s="40">
        <f t="shared" si="186"/>
        <v>140.94002917167956</v>
      </c>
      <c r="P347" s="36">
        <f>(1+Q345)*(1+Q346)*(1+Q347)-1</f>
        <v>3.6603775542494388E-2</v>
      </c>
      <c r="Q347" s="4">
        <v>9.8241854870906292E-3</v>
      </c>
      <c r="R347" s="4">
        <f t="shared" si="187"/>
        <v>0.42254162840199561</v>
      </c>
      <c r="S347" s="41">
        <f t="shared" si="188"/>
        <v>142.25416284019957</v>
      </c>
    </row>
    <row r="348" spans="1:19" ht="13.5" x14ac:dyDescent="0.25">
      <c r="A348" s="2">
        <v>43312</v>
      </c>
      <c r="B348" s="49">
        <v>1105427.51</v>
      </c>
      <c r="C348" s="6">
        <v>5</v>
      </c>
      <c r="D348" s="37"/>
      <c r="E348" s="4">
        <v>3.2500000000000001E-2</v>
      </c>
      <c r="F348" s="4">
        <f t="shared" si="195"/>
        <v>0.37382455300580975</v>
      </c>
      <c r="G348" s="40">
        <f t="shared" si="182"/>
        <v>137.3824553005808</v>
      </c>
      <c r="H348" s="37"/>
      <c r="I348" s="4">
        <v>3.4500000000000003E-2</v>
      </c>
      <c r="J348" s="4">
        <f t="shared" si="183"/>
        <v>0.41849185201180217</v>
      </c>
      <c r="K348" s="40">
        <f t="shared" si="184"/>
        <v>141.84918520118023</v>
      </c>
      <c r="L348" s="37"/>
      <c r="M348" s="4">
        <v>3.32E-2</v>
      </c>
      <c r="N348" s="4">
        <f t="shared" si="196"/>
        <v>0.45619238140179297</v>
      </c>
      <c r="O348" s="40">
        <f t="shared" si="186"/>
        <v>145.61923814017931</v>
      </c>
      <c r="P348" s="37"/>
      <c r="Q348" s="4">
        <v>2.3110452750684497E-2</v>
      </c>
      <c r="R348" s="4">
        <f t="shared" si="187"/>
        <v>0.45541720949106157</v>
      </c>
      <c r="S348" s="41">
        <f t="shared" si="188"/>
        <v>145.54172094910618</v>
      </c>
    </row>
    <row r="349" spans="1:19" ht="13.5" x14ac:dyDescent="0.25">
      <c r="A349" s="2">
        <v>43343</v>
      </c>
      <c r="B349" s="49">
        <v>1131727.93</v>
      </c>
      <c r="C349" s="6">
        <v>5</v>
      </c>
      <c r="D349" s="37"/>
      <c r="E349" s="4">
        <v>2.3800000000000002E-2</v>
      </c>
      <c r="F349" s="4">
        <f t="shared" si="195"/>
        <v>0.40652157736734806</v>
      </c>
      <c r="G349" s="40">
        <f t="shared" si="182"/>
        <v>140.65215773673464</v>
      </c>
      <c r="H349" s="37"/>
      <c r="I349" s="4">
        <v>2.4E-2</v>
      </c>
      <c r="J349" s="4">
        <f t="shared" si="183"/>
        <v>0.45253565646008553</v>
      </c>
      <c r="K349" s="40">
        <f t="shared" si="184"/>
        <v>145.25356564600855</v>
      </c>
      <c r="L349" s="37"/>
      <c r="M349" s="4">
        <v>3.5200000000000002E-2</v>
      </c>
      <c r="N349" s="4">
        <f t="shared" si="196"/>
        <v>0.50745035322713594</v>
      </c>
      <c r="O349" s="40">
        <f t="shared" si="186"/>
        <v>150.74503532271359</v>
      </c>
      <c r="P349" s="37"/>
      <c r="Q349" s="4">
        <v>1.05556126217343E-2</v>
      </c>
      <c r="R349" s="4">
        <f t="shared" si="187"/>
        <v>0.4707800297574547</v>
      </c>
      <c r="S349" s="41">
        <f t="shared" si="188"/>
        <v>147.07800297574551</v>
      </c>
    </row>
    <row r="350" spans="1:19" ht="13.5" x14ac:dyDescent="0.25">
      <c r="A350" s="2">
        <v>43373</v>
      </c>
      <c r="B350" s="49">
        <v>1144625.81</v>
      </c>
      <c r="C350" s="6">
        <v>5</v>
      </c>
      <c r="D350" s="36">
        <f>(1+E348)*(1+E349)*(1+E350)-1</f>
        <v>6.9124137900000049E-2</v>
      </c>
      <c r="E350" s="4">
        <v>1.14E-2</v>
      </c>
      <c r="F350" s="4">
        <f t="shared" si="195"/>
        <v>0.42255592334933589</v>
      </c>
      <c r="G350" s="40">
        <f t="shared" si="182"/>
        <v>142.25559233493343</v>
      </c>
      <c r="H350" s="36">
        <f>(1+I348)*(1+I349)*(1+I350)-1</f>
        <v>7.1404339200000111E-2</v>
      </c>
      <c r="I350" s="4">
        <v>1.14E-2</v>
      </c>
      <c r="J350" s="4">
        <f t="shared" si="183"/>
        <v>0.46909456294373064</v>
      </c>
      <c r="K350" s="40">
        <f t="shared" si="184"/>
        <v>146.90945629437306</v>
      </c>
      <c r="L350" s="36">
        <f>(1+M348)*(1+M349)*(1+M350)-1</f>
        <v>7.1279949823999766E-2</v>
      </c>
      <c r="M350" s="4">
        <v>1.6000000000000001E-3</v>
      </c>
      <c r="N350" s="4">
        <f t="shared" si="196"/>
        <v>0.50986227379229954</v>
      </c>
      <c r="O350" s="40">
        <f t="shared" si="186"/>
        <v>150.98622737922994</v>
      </c>
      <c r="P350" s="36">
        <f>(1+Q348)*(1+Q349)*(1+Q350)-1</f>
        <v>3.0797255571180626E-2</v>
      </c>
      <c r="Q350" s="4">
        <v>-3.0106631687471003E-3</v>
      </c>
      <c r="R350" s="4">
        <f t="shared" si="187"/>
        <v>0.46635200649253528</v>
      </c>
      <c r="S350" s="41">
        <f t="shared" si="188"/>
        <v>146.63520064925356</v>
      </c>
    </row>
    <row r="351" spans="1:19" ht="13.5" x14ac:dyDescent="0.25">
      <c r="A351" s="2">
        <v>43404</v>
      </c>
      <c r="B351" s="49">
        <v>1105857.21</v>
      </c>
      <c r="C351" s="6">
        <v>5</v>
      </c>
      <c r="D351" s="37"/>
      <c r="E351" s="4">
        <v>-3.39E-2</v>
      </c>
      <c r="F351" s="4">
        <f t="shared" ref="F351:F356" si="197">(F350+1)*(E351+1)-1</f>
        <v>0.37433127754779338</v>
      </c>
      <c r="G351" s="40">
        <f t="shared" si="182"/>
        <v>137.43312775477918</v>
      </c>
      <c r="H351" s="37"/>
      <c r="I351" s="4">
        <v>-3.2000000000000001E-2</v>
      </c>
      <c r="J351" s="4">
        <f t="shared" si="183"/>
        <v>0.42208353692953127</v>
      </c>
      <c r="K351" s="40">
        <f t="shared" si="184"/>
        <v>142.20835369295312</v>
      </c>
      <c r="L351" s="37"/>
      <c r="M351" s="4">
        <v>-7.3599999999999999E-2</v>
      </c>
      <c r="N351" s="4">
        <f t="shared" ref="N351:N356" si="198">(N350+1)*(M351+1)-1</f>
        <v>0.39873641044118635</v>
      </c>
      <c r="O351" s="40">
        <f t="shared" si="186"/>
        <v>139.87364104411861</v>
      </c>
      <c r="P351" s="37"/>
      <c r="Q351" s="4">
        <v>-3.8703350374070904E-2</v>
      </c>
      <c r="R351" s="4">
        <f t="shared" si="187"/>
        <v>0.40959927101353277</v>
      </c>
      <c r="S351" s="41">
        <f t="shared" si="188"/>
        <v>140.95992710135332</v>
      </c>
    </row>
    <row r="352" spans="1:19" ht="13.5" x14ac:dyDescent="0.25">
      <c r="A352" s="2">
        <v>43434</v>
      </c>
      <c r="B352" s="49">
        <v>1140877.43</v>
      </c>
      <c r="C352" s="6">
        <v>5</v>
      </c>
      <c r="D352" s="37"/>
      <c r="E352" s="4">
        <v>3.1699999999999999E-2</v>
      </c>
      <c r="F352" s="4">
        <f t="shared" si="197"/>
        <v>0.41789757904605862</v>
      </c>
      <c r="G352" s="40">
        <f t="shared" si="182"/>
        <v>141.78975790460569</v>
      </c>
      <c r="H352" s="37"/>
      <c r="I352" s="4">
        <v>3.1899999999999998E-2</v>
      </c>
      <c r="J352" s="4">
        <f t="shared" ref="J352:J383" si="199">(J351+1)*(I352+1)-1</f>
        <v>0.46744800175758328</v>
      </c>
      <c r="K352" s="40">
        <f t="shared" si="184"/>
        <v>146.74480017575834</v>
      </c>
      <c r="L352" s="37"/>
      <c r="M352" s="4">
        <v>2.01E-2</v>
      </c>
      <c r="N352" s="4">
        <f t="shared" si="198"/>
        <v>0.42685101229105427</v>
      </c>
      <c r="O352" s="40">
        <f t="shared" si="186"/>
        <v>142.68510122910538</v>
      </c>
      <c r="P352" s="37"/>
      <c r="Q352" s="4">
        <v>2.1393399156587098E-2</v>
      </c>
      <c r="R352" s="4">
        <f t="shared" si="187"/>
        <v>0.4397553908691596</v>
      </c>
      <c r="S352" s="41">
        <f t="shared" si="188"/>
        <v>143.975539086916</v>
      </c>
    </row>
    <row r="353" spans="1:19" ht="13.5" x14ac:dyDescent="0.25">
      <c r="A353" s="2">
        <v>43465</v>
      </c>
      <c r="B353" s="49">
        <v>1061548.46</v>
      </c>
      <c r="C353" s="6">
        <v>5</v>
      </c>
      <c r="D353" s="36">
        <f>(1+E351)*(1+E352)*(1+E353)-1</f>
        <v>-7.254704321499994E-2</v>
      </c>
      <c r="E353" s="4">
        <v>-6.9500000000000006E-2</v>
      </c>
      <c r="F353" s="4">
        <f t="shared" si="197"/>
        <v>0.31935369730235763</v>
      </c>
      <c r="G353" s="40">
        <f t="shared" si="182"/>
        <v>131.93536973023561</v>
      </c>
      <c r="H353" s="36">
        <f>(1+I351)*(1+I352)*(1+I353)-1</f>
        <v>-7.0542904399999995E-2</v>
      </c>
      <c r="I353" s="4">
        <v>-6.9500000000000006E-2</v>
      </c>
      <c r="J353" s="4">
        <f t="shared" si="199"/>
        <v>0.36546036563543116</v>
      </c>
      <c r="K353" s="40">
        <f t="shared" si="184"/>
        <v>136.54603656354314</v>
      </c>
      <c r="L353" s="36">
        <f>(1+M351)*(1+M352)*(1+M353)-1</f>
        <v>-0.14296078158399994</v>
      </c>
      <c r="M353" s="4">
        <v>-9.3100000000000002E-2</v>
      </c>
      <c r="N353" s="4">
        <f t="shared" si="198"/>
        <v>0.29401118304675711</v>
      </c>
      <c r="O353" s="40">
        <f t="shared" si="186"/>
        <v>129.40111830467569</v>
      </c>
      <c r="P353" s="36">
        <f>(1+Q351)*(1+Q352)*(1+Q353)-1</f>
        <v>-9.680207013404396E-2</v>
      </c>
      <c r="Q353" s="4">
        <v>-8.0117285812471198E-2</v>
      </c>
      <c r="R353" s="4">
        <f t="shared" si="187"/>
        <v>0.3244060967188489</v>
      </c>
      <c r="S353" s="41">
        <f t="shared" si="188"/>
        <v>132.44060967188491</v>
      </c>
    </row>
    <row r="354" spans="1:19" ht="13.5" x14ac:dyDescent="0.25">
      <c r="A354" s="2">
        <v>43496</v>
      </c>
      <c r="B354" s="49">
        <v>1122503.58</v>
      </c>
      <c r="C354" s="6">
        <v>5</v>
      </c>
      <c r="D354" s="37"/>
      <c r="E354" s="4">
        <v>5.74E-2</v>
      </c>
      <c r="F354" s="4">
        <f t="shared" si="197"/>
        <v>0.39508459952751274</v>
      </c>
      <c r="G354" s="40">
        <f t="shared" si="182"/>
        <v>139.50845995275111</v>
      </c>
      <c r="H354" s="37"/>
      <c r="I354" s="4">
        <v>5.9400000000000001E-2</v>
      </c>
      <c r="J354" s="4">
        <f t="shared" si="199"/>
        <v>0.44656871135417564</v>
      </c>
      <c r="K354" s="40">
        <f t="shared" si="184"/>
        <v>144.65687113541759</v>
      </c>
      <c r="L354" s="37"/>
      <c r="M354" s="4">
        <v>8.5800000000000001E-2</v>
      </c>
      <c r="N354" s="4">
        <f t="shared" si="198"/>
        <v>0.40503734255216894</v>
      </c>
      <c r="O354" s="40">
        <f t="shared" si="186"/>
        <v>140.50373425521687</v>
      </c>
      <c r="P354" s="37"/>
      <c r="Q354" s="4">
        <v>6.8400004300196701E-2</v>
      </c>
      <c r="R354" s="4">
        <f t="shared" si="187"/>
        <v>0.41499547942962489</v>
      </c>
      <c r="S354" s="41">
        <f t="shared" si="188"/>
        <v>141.49954794296252</v>
      </c>
    </row>
    <row r="355" spans="1:19" ht="13.5" x14ac:dyDescent="0.25">
      <c r="A355" s="2">
        <v>43524</v>
      </c>
      <c r="B355" s="49">
        <v>1157847.4099999999</v>
      </c>
      <c r="C355" s="6">
        <v>5</v>
      </c>
      <c r="D355" s="37"/>
      <c r="E355" s="4">
        <v>3.15E-2</v>
      </c>
      <c r="F355" s="4">
        <f t="shared" si="197"/>
        <v>0.43902976441262953</v>
      </c>
      <c r="G355" s="40">
        <f t="shared" si="182"/>
        <v>143.90297644126278</v>
      </c>
      <c r="H355" s="37"/>
      <c r="I355" s="4">
        <v>3.1699999999999999E-2</v>
      </c>
      <c r="J355" s="4">
        <f t="shared" si="199"/>
        <v>0.49242493950410315</v>
      </c>
      <c r="K355" s="40">
        <f t="shared" si="184"/>
        <v>149.24249395041033</v>
      </c>
      <c r="L355" s="37"/>
      <c r="M355" s="4">
        <v>3.5200000000000002E-2</v>
      </c>
      <c r="N355" s="4">
        <f t="shared" si="198"/>
        <v>0.45449465701000524</v>
      </c>
      <c r="O355" s="40">
        <f t="shared" si="186"/>
        <v>145.44946570100049</v>
      </c>
      <c r="P355" s="37"/>
      <c r="Q355" s="4">
        <v>2.91201078671584E-2</v>
      </c>
      <c r="R355" s="4">
        <f t="shared" si="187"/>
        <v>0.45620030042215709</v>
      </c>
      <c r="S355" s="41">
        <f t="shared" si="188"/>
        <v>145.62003004221575</v>
      </c>
    </row>
    <row r="356" spans="1:19" ht="13.5" x14ac:dyDescent="0.25">
      <c r="A356" s="2">
        <v>43555</v>
      </c>
      <c r="B356" s="49">
        <v>1679733.73</v>
      </c>
      <c r="C356" s="6">
        <v>6</v>
      </c>
      <c r="D356" s="36">
        <f>(1+E354)*(1+E355)*(1+E356)-1</f>
        <v>9.8452127510000098E-2</v>
      </c>
      <c r="E356" s="4">
        <v>7.1000000000000004E-3</v>
      </c>
      <c r="F356" s="4">
        <f t="shared" si="197"/>
        <v>0.44924687573995925</v>
      </c>
      <c r="G356" s="40">
        <f t="shared" si="182"/>
        <v>144.92468757399575</v>
      </c>
      <c r="H356" s="36">
        <f>(1+I354)*(1+I355)*(1+I356)-1</f>
        <v>0.10074315915800014</v>
      </c>
      <c r="I356" s="4">
        <v>7.1000000000000004E-3</v>
      </c>
      <c r="J356" s="4">
        <f t="shared" si="199"/>
        <v>0.50302115657458235</v>
      </c>
      <c r="K356" s="40">
        <f t="shared" si="184"/>
        <v>150.30211565745827</v>
      </c>
      <c r="L356" s="36">
        <f>(1+M354)*(1+M355)*(1+M356)-1</f>
        <v>0.14043085433599978</v>
      </c>
      <c r="M356" s="4">
        <v>1.46E-2</v>
      </c>
      <c r="N356" s="4">
        <f t="shared" si="198"/>
        <v>0.47573027900235121</v>
      </c>
      <c r="O356" s="40">
        <f t="shared" si="186"/>
        <v>147.5730279002351</v>
      </c>
      <c r="P356" s="36">
        <f>(1+Q354)*(1+Q355)*(1+Q356)-1</f>
        <v>0.11078381835968987</v>
      </c>
      <c r="Q356" s="4">
        <v>1.0251722064424E-2</v>
      </c>
      <c r="R356" s="4">
        <f t="shared" si="187"/>
        <v>0.47112886117221575</v>
      </c>
      <c r="S356" s="41">
        <f t="shared" si="188"/>
        <v>147.11288611722162</v>
      </c>
    </row>
    <row r="357" spans="1:19" ht="13.5" x14ac:dyDescent="0.25">
      <c r="A357" s="2">
        <v>43585</v>
      </c>
      <c r="B357" s="49">
        <v>1728290.31</v>
      </c>
      <c r="C357" s="6">
        <v>6</v>
      </c>
      <c r="D357" s="37"/>
      <c r="E357" s="4">
        <v>2.8899999999999999E-2</v>
      </c>
      <c r="F357" s="4">
        <f t="shared" ref="F357:F362" si="200">(F356+1)*(E357+1)-1</f>
        <v>0.49113011044884392</v>
      </c>
      <c r="G357" s="40">
        <f t="shared" si="182"/>
        <v>149.11301104488422</v>
      </c>
      <c r="H357" s="37"/>
      <c r="I357" s="4">
        <v>3.04E-2</v>
      </c>
      <c r="J357" s="4">
        <f t="shared" si="199"/>
        <v>0.54871299973444954</v>
      </c>
      <c r="K357" s="40">
        <f t="shared" si="184"/>
        <v>154.87129997344499</v>
      </c>
      <c r="L357" s="37"/>
      <c r="M357" s="4">
        <v>3.9899999999999998E-2</v>
      </c>
      <c r="N357" s="4">
        <f t="shared" ref="N357:N362" si="201">(N356+1)*(M357+1)-1</f>
        <v>0.53461191713454514</v>
      </c>
      <c r="O357" s="40">
        <f t="shared" si="186"/>
        <v>153.4611917134545</v>
      </c>
      <c r="P357" s="37"/>
      <c r="Q357" s="4">
        <v>2.98720529596221E-2</v>
      </c>
      <c r="R357" s="4">
        <f t="shared" si="187"/>
        <v>0.51507450042358083</v>
      </c>
      <c r="S357" s="41">
        <f t="shared" si="188"/>
        <v>151.50745004235813</v>
      </c>
    </row>
    <row r="358" spans="1:19" ht="13.5" x14ac:dyDescent="0.25">
      <c r="A358" s="2">
        <v>43616</v>
      </c>
      <c r="B358" s="49">
        <v>1637279.92</v>
      </c>
      <c r="C358" s="6">
        <v>6</v>
      </c>
      <c r="D358" s="37"/>
      <c r="E358" s="4">
        <v>-5.2699999999999997E-2</v>
      </c>
      <c r="F358" s="4">
        <f t="shared" si="200"/>
        <v>0.41254755362818996</v>
      </c>
      <c r="G358" s="40">
        <f t="shared" si="182"/>
        <v>141.25475536281883</v>
      </c>
      <c r="H358" s="37"/>
      <c r="I358" s="4">
        <v>-5.1700000000000003E-2</v>
      </c>
      <c r="J358" s="4">
        <f t="shared" si="199"/>
        <v>0.46864453764817848</v>
      </c>
      <c r="K358" s="40">
        <f t="shared" si="184"/>
        <v>146.86445376481788</v>
      </c>
      <c r="L358" s="37"/>
      <c r="M358" s="4">
        <v>-6.4699999999999994E-2</v>
      </c>
      <c r="N358" s="4">
        <f t="shared" si="201"/>
        <v>0.43532252609594013</v>
      </c>
      <c r="O358" s="40">
        <f t="shared" si="186"/>
        <v>143.532252609594</v>
      </c>
      <c r="P358" s="37"/>
      <c r="Q358" s="4">
        <v>-7.3799108170716193E-2</v>
      </c>
      <c r="R358" s="4">
        <f t="shared" si="187"/>
        <v>0.4032633534801271</v>
      </c>
      <c r="S358" s="41">
        <f t="shared" si="188"/>
        <v>140.32633534801275</v>
      </c>
    </row>
    <row r="359" spans="1:19" ht="13.5" x14ac:dyDescent="0.25">
      <c r="A359" s="2">
        <v>43646</v>
      </c>
      <c r="B359" s="49">
        <v>1734988.55</v>
      </c>
      <c r="C359" s="6">
        <v>6</v>
      </c>
      <c r="D359" s="36">
        <f>(1+E357)*(1+E358)*(1+E359)-1</f>
        <v>3.286518510900005E-2</v>
      </c>
      <c r="E359" s="4">
        <v>5.9700000000000003E-2</v>
      </c>
      <c r="F359" s="4">
        <f t="shared" si="200"/>
        <v>0.49687664257979303</v>
      </c>
      <c r="G359" s="40">
        <f t="shared" si="182"/>
        <v>149.68766425797912</v>
      </c>
      <c r="H359" s="36">
        <f>(1+I357)*(1+I358)*(1+I359)-1</f>
        <v>3.5462880704000055E-2</v>
      </c>
      <c r="I359" s="4">
        <v>5.9700000000000003E-2</v>
      </c>
      <c r="J359" s="4">
        <f t="shared" si="199"/>
        <v>0.55632261654577486</v>
      </c>
      <c r="K359" s="40">
        <f t="shared" si="184"/>
        <v>155.63226165457752</v>
      </c>
      <c r="L359" s="36">
        <f>(1+M357)*(1+M358)*(1+M359)-1</f>
        <v>4.0896286594000131E-2</v>
      </c>
      <c r="M359" s="4">
        <v>7.0199999999999999E-2</v>
      </c>
      <c r="N359" s="4">
        <f t="shared" si="201"/>
        <v>0.53608216742787529</v>
      </c>
      <c r="O359" s="40">
        <f t="shared" si="186"/>
        <v>153.6082167427875</v>
      </c>
      <c r="P359" s="36">
        <f>(1+Q357)*(1+Q358)*(1+Q359)-1</f>
        <v>2.3044016878943863E-2</v>
      </c>
      <c r="Q359" s="4">
        <v>7.25211171143747E-2</v>
      </c>
      <c r="R359" s="4">
        <f t="shared" si="187"/>
        <v>0.50502957948016958</v>
      </c>
      <c r="S359" s="41">
        <f t="shared" si="188"/>
        <v>150.50295794801698</v>
      </c>
    </row>
    <row r="360" spans="1:19" ht="13.5" x14ac:dyDescent="0.25">
      <c r="A360" s="2">
        <v>43677</v>
      </c>
      <c r="B360" s="49">
        <v>1718070.15</v>
      </c>
      <c r="C360" s="6">
        <v>6</v>
      </c>
      <c r="D360" s="37"/>
      <c r="E360" s="4">
        <v>1.0699999999999999E-2</v>
      </c>
      <c r="F360" s="4">
        <f t="shared" si="200"/>
        <v>0.51289322265539661</v>
      </c>
      <c r="G360" s="40">
        <f t="shared" si="182"/>
        <v>151.28932226553948</v>
      </c>
      <c r="H360" s="37"/>
      <c r="I360" s="4">
        <v>1.21E-2</v>
      </c>
      <c r="J360" s="4">
        <f t="shared" si="199"/>
        <v>0.57515412020597867</v>
      </c>
      <c r="K360" s="40">
        <f t="shared" si="184"/>
        <v>157.51541202059792</v>
      </c>
      <c r="L360" s="37"/>
      <c r="M360" s="4">
        <v>1.49E-2</v>
      </c>
      <c r="N360" s="4">
        <f t="shared" si="201"/>
        <v>0.55896979172255046</v>
      </c>
      <c r="O360" s="40">
        <f t="shared" si="186"/>
        <v>155.89697917225502</v>
      </c>
      <c r="P360" s="37"/>
      <c r="Q360" s="4">
        <v>8.1358497705881199E-3</v>
      </c>
      <c r="R360" s="4">
        <f t="shared" si="187"/>
        <v>0.51727427403911164</v>
      </c>
      <c r="S360" s="41">
        <f t="shared" si="188"/>
        <v>151.72742740391118</v>
      </c>
    </row>
    <row r="361" spans="1:19" ht="13.5" x14ac:dyDescent="0.25">
      <c r="A361" s="2">
        <v>43708</v>
      </c>
      <c r="B361" s="49">
        <v>1685315.76</v>
      </c>
      <c r="C361" s="6">
        <v>6</v>
      </c>
      <c r="D361" s="37"/>
      <c r="E361" s="4">
        <v>-1.9099999999999999E-2</v>
      </c>
      <c r="F361" s="4">
        <f t="shared" si="200"/>
        <v>0.48399696210267851</v>
      </c>
      <c r="G361" s="40">
        <f t="shared" si="182"/>
        <v>148.39969621026768</v>
      </c>
      <c r="H361" s="37"/>
      <c r="I361" s="4">
        <v>-1.8100000000000002E-2</v>
      </c>
      <c r="J361" s="4">
        <f t="shared" si="199"/>
        <v>0.54664383063025035</v>
      </c>
      <c r="K361" s="40">
        <f t="shared" si="184"/>
        <v>154.6643830630251</v>
      </c>
      <c r="L361" s="37"/>
      <c r="M361" s="4">
        <v>-2.0400000000000001E-2</v>
      </c>
      <c r="N361" s="4">
        <f t="shared" si="201"/>
        <v>0.52716680797141047</v>
      </c>
      <c r="O361" s="40">
        <f t="shared" si="186"/>
        <v>152.71668079714101</v>
      </c>
      <c r="P361" s="37"/>
      <c r="Q361" s="4">
        <v>-2.1972505043870202E-2</v>
      </c>
      <c r="R361" s="4">
        <f t="shared" si="187"/>
        <v>0.48393595739985273</v>
      </c>
      <c r="S361" s="41">
        <f t="shared" si="188"/>
        <v>148.3935957399853</v>
      </c>
    </row>
    <row r="362" spans="1:19" ht="13.5" x14ac:dyDescent="0.25">
      <c r="A362" s="2">
        <v>43738</v>
      </c>
      <c r="B362" s="49">
        <v>1730792.47</v>
      </c>
      <c r="C362" s="6">
        <v>6</v>
      </c>
      <c r="D362" s="36">
        <f>(1+E360)*(1+E361)*(1+E362)-1</f>
        <v>1.8163312009999988E-2</v>
      </c>
      <c r="E362" s="4">
        <v>2.7E-2</v>
      </c>
      <c r="F362" s="4">
        <f t="shared" si="200"/>
        <v>0.52406488007945073</v>
      </c>
      <c r="G362" s="40">
        <f t="shared" si="182"/>
        <v>152.40648800794489</v>
      </c>
      <c r="H362" s="36">
        <f>(1+I360)*(1+I361)*(1+I362)-1</f>
        <v>2.0613076729999902E-2</v>
      </c>
      <c r="I362" s="4">
        <v>2.7E-2</v>
      </c>
      <c r="J362" s="4">
        <f t="shared" si="199"/>
        <v>0.58840321405726703</v>
      </c>
      <c r="K362" s="40">
        <f t="shared" si="184"/>
        <v>158.84032140572677</v>
      </c>
      <c r="L362" s="36">
        <f>(1+M360)*(1+M361)*(1+M362)-1</f>
        <v>1.1693890304000032E-2</v>
      </c>
      <c r="M362" s="4">
        <v>1.7600000000000001E-2</v>
      </c>
      <c r="N362" s="4">
        <f t="shared" si="201"/>
        <v>0.55404494379170743</v>
      </c>
      <c r="O362" s="40">
        <f t="shared" si="186"/>
        <v>155.4044943791707</v>
      </c>
      <c r="P362" s="36">
        <f>(1+Q360)*(1+Q361)*(1+Q362)-1</f>
        <v>3.5807199281018054E-2</v>
      </c>
      <c r="Q362" s="4">
        <v>5.0530830378945304E-2</v>
      </c>
      <c r="R362" s="4">
        <f t="shared" si="187"/>
        <v>0.55892047355644259</v>
      </c>
      <c r="S362" s="41">
        <f t="shared" si="188"/>
        <v>155.89204735564428</v>
      </c>
    </row>
    <row r="363" spans="1:19" ht="13.5" x14ac:dyDescent="0.25">
      <c r="A363" s="2">
        <v>43769</v>
      </c>
      <c r="B363" s="49">
        <v>1689282.12</v>
      </c>
      <c r="C363" s="6">
        <v>6</v>
      </c>
      <c r="D363" s="37"/>
      <c r="E363" s="4">
        <v>5.1000000000000004E-3</v>
      </c>
      <c r="F363" s="4">
        <f t="shared" ref="F363:F368" si="202">(F362+1)*(E363+1)-1</f>
        <v>0.5318376109678562</v>
      </c>
      <c r="G363" s="40">
        <f t="shared" si="182"/>
        <v>153.18376109678542</v>
      </c>
      <c r="H363" s="37"/>
      <c r="I363" s="4">
        <v>6.4999999999999997E-3</v>
      </c>
      <c r="J363" s="4">
        <f t="shared" si="199"/>
        <v>0.59872783494863913</v>
      </c>
      <c r="K363" s="40">
        <f t="shared" si="184"/>
        <v>159.872783494864</v>
      </c>
      <c r="L363" s="37"/>
      <c r="M363" s="4">
        <v>2.1499999999999998E-2</v>
      </c>
      <c r="N363" s="4">
        <f t="shared" ref="N363:N368" si="203">(N362+1)*(M363+1)-1</f>
        <v>0.5874569100832292</v>
      </c>
      <c r="O363" s="40">
        <f t="shared" si="186"/>
        <v>158.74569100832289</v>
      </c>
      <c r="P363" s="37"/>
      <c r="Q363" s="4">
        <v>7.35226961366076E-4</v>
      </c>
      <c r="R363" s="4">
        <f t="shared" si="187"/>
        <v>0.56006663391922684</v>
      </c>
      <c r="S363" s="41">
        <f t="shared" si="188"/>
        <v>156.0066633919227</v>
      </c>
    </row>
    <row r="364" spans="1:19" ht="13.5" x14ac:dyDescent="0.25">
      <c r="A364" s="2">
        <v>43799</v>
      </c>
      <c r="B364" s="49">
        <v>1724916.43</v>
      </c>
      <c r="C364" s="6">
        <v>6</v>
      </c>
      <c r="D364" s="37"/>
      <c r="E364" s="4">
        <v>2.1100000000000001E-2</v>
      </c>
      <c r="F364" s="4">
        <f t="shared" si="202"/>
        <v>0.56415938455927783</v>
      </c>
      <c r="G364" s="40">
        <f t="shared" si="182"/>
        <v>156.41593845592757</v>
      </c>
      <c r="H364" s="37"/>
      <c r="I364" s="4">
        <v>2.1999999999999999E-2</v>
      </c>
      <c r="J364" s="4">
        <f t="shared" si="199"/>
        <v>0.63389984731750926</v>
      </c>
      <c r="K364" s="40">
        <f t="shared" si="184"/>
        <v>163.38998473175101</v>
      </c>
      <c r="L364" s="37"/>
      <c r="M364" s="4">
        <v>3.7999999999999999E-2</v>
      </c>
      <c r="N364" s="4">
        <f t="shared" si="203"/>
        <v>0.64778027266639193</v>
      </c>
      <c r="O364" s="40">
        <f t="shared" si="186"/>
        <v>164.77802726663916</v>
      </c>
      <c r="P364" s="37"/>
      <c r="Q364" s="4">
        <v>1.6359330294194202E-2</v>
      </c>
      <c r="R364" s="4">
        <f t="shared" si="187"/>
        <v>0.58558827926446333</v>
      </c>
      <c r="S364" s="41">
        <f t="shared" si="188"/>
        <v>158.55882792644636</v>
      </c>
    </row>
    <row r="365" spans="1:19" ht="13.5" x14ac:dyDescent="0.25">
      <c r="A365" s="2">
        <v>43830</v>
      </c>
      <c r="B365" s="49">
        <v>1787690.35</v>
      </c>
      <c r="C365" s="6">
        <v>6</v>
      </c>
      <c r="D365" s="36">
        <f>(1+E363)*(1+E364)*(1+E365)-1</f>
        <v>5.6070530689999787E-2</v>
      </c>
      <c r="E365" s="4">
        <v>2.9000000000000001E-2</v>
      </c>
      <c r="F365" s="4">
        <f t="shared" si="202"/>
        <v>0.60952000671149675</v>
      </c>
      <c r="G365" s="40">
        <f t="shared" si="182"/>
        <v>160.95200067114945</v>
      </c>
      <c r="H365" s="36">
        <f>(1+I363)*(1+I364)*(1+I365)-1</f>
        <v>5.8473646999999795E-2</v>
      </c>
      <c r="I365" s="4">
        <v>2.9000000000000001E-2</v>
      </c>
      <c r="J365" s="4">
        <f t="shared" si="199"/>
        <v>0.68128294288971691</v>
      </c>
      <c r="K365" s="40">
        <f t="shared" si="184"/>
        <v>168.12829428897177</v>
      </c>
      <c r="L365" s="36">
        <f>(1+M363)*(1+M364)*(1+M365)-1</f>
        <v>9.0960161300000175E-2</v>
      </c>
      <c r="M365" s="4">
        <v>2.8899999999999999E-2</v>
      </c>
      <c r="N365" s="4">
        <f t="shared" si="203"/>
        <v>0.69540112254645048</v>
      </c>
      <c r="O365" s="40">
        <f t="shared" si="186"/>
        <v>169.54011225464501</v>
      </c>
      <c r="P365" s="36">
        <f>(1+Q363)*(1+Q364)*(1+Q365)-1</f>
        <v>4.5876335738423313E-2</v>
      </c>
      <c r="Q365" s="4">
        <v>2.8285875919291003E-2</v>
      </c>
      <c r="R365" s="4">
        <f t="shared" si="187"/>
        <v>0.6304380325908201</v>
      </c>
      <c r="S365" s="41">
        <f t="shared" si="188"/>
        <v>163.04380325908204</v>
      </c>
    </row>
    <row r="366" spans="1:19" ht="13.5" x14ac:dyDescent="0.25">
      <c r="A366" s="2">
        <v>43861</v>
      </c>
      <c r="B366" s="49">
        <v>1699871.15</v>
      </c>
      <c r="C366" s="6">
        <v>6</v>
      </c>
      <c r="D366" s="37"/>
      <c r="E366" s="4">
        <v>-2.86E-2</v>
      </c>
      <c r="F366" s="4">
        <f t="shared" si="202"/>
        <v>0.56348773451954792</v>
      </c>
      <c r="G366" s="40">
        <f t="shared" si="182"/>
        <v>156.34877345195457</v>
      </c>
      <c r="H366" s="37"/>
      <c r="I366" s="4">
        <v>-2.75E-2</v>
      </c>
      <c r="J366" s="4">
        <f t="shared" si="199"/>
        <v>0.63504766196024964</v>
      </c>
      <c r="K366" s="40">
        <f t="shared" si="184"/>
        <v>163.50476619602506</v>
      </c>
      <c r="L366" s="37"/>
      <c r="M366" s="4">
        <v>-1.1000000000000001E-3</v>
      </c>
      <c r="N366" s="4">
        <f t="shared" si="203"/>
        <v>0.6935361813116494</v>
      </c>
      <c r="O366" s="40">
        <f t="shared" si="186"/>
        <v>169.35361813116489</v>
      </c>
      <c r="P366" s="37"/>
      <c r="Q366" s="4">
        <v>-1.7417236470968499E-2</v>
      </c>
      <c r="R366" s="4">
        <f t="shared" si="187"/>
        <v>0.6020403078259251</v>
      </c>
      <c r="S366" s="41">
        <f t="shared" si="188"/>
        <v>160.20403078259255</v>
      </c>
    </row>
    <row r="367" spans="1:19" ht="13.5" x14ac:dyDescent="0.25">
      <c r="A367" s="2">
        <v>43890</v>
      </c>
      <c r="B367" s="49">
        <v>1559691.99</v>
      </c>
      <c r="C367" s="6">
        <v>6</v>
      </c>
      <c r="D367" s="37"/>
      <c r="E367" s="4">
        <v>-8.2500000000000004E-2</v>
      </c>
      <c r="F367" s="4">
        <f t="shared" si="202"/>
        <v>0.43449999642168513</v>
      </c>
      <c r="G367" s="40">
        <f t="shared" si="182"/>
        <v>143.44999964216831</v>
      </c>
      <c r="H367" s="37"/>
      <c r="I367" s="4">
        <v>-8.1699999999999995E-2</v>
      </c>
      <c r="J367" s="4">
        <f t="shared" si="199"/>
        <v>0.50146426797809718</v>
      </c>
      <c r="K367" s="40">
        <f t="shared" si="184"/>
        <v>150.14642679780982</v>
      </c>
      <c r="L367" s="37"/>
      <c r="M367" s="4">
        <v>-8.1900000000000001E-2</v>
      </c>
      <c r="N367" s="4">
        <f t="shared" si="203"/>
        <v>0.55483556806222545</v>
      </c>
      <c r="O367" s="40">
        <f t="shared" si="186"/>
        <v>155.48355680622248</v>
      </c>
      <c r="P367" s="37"/>
      <c r="Q367" s="4">
        <v>-0.112514830894475</v>
      </c>
      <c r="R367" s="4">
        <f t="shared" si="187"/>
        <v>0.42178701350475856</v>
      </c>
      <c r="S367" s="41">
        <f t="shared" si="188"/>
        <v>142.17870135047588</v>
      </c>
    </row>
    <row r="368" spans="1:19" ht="13.5" x14ac:dyDescent="0.25">
      <c r="A368" s="2">
        <v>43921</v>
      </c>
      <c r="B368" s="49">
        <v>1326956.67</v>
      </c>
      <c r="C368" s="6">
        <v>6</v>
      </c>
      <c r="D368" s="36">
        <f>(1+E366)*(1+E367)*(1+E368)-1</f>
        <v>-0.22112832294999996</v>
      </c>
      <c r="E368" s="4">
        <v>-0.12609999999999999</v>
      </c>
      <c r="F368" s="4">
        <f t="shared" si="202"/>
        <v>0.25360954687291071</v>
      </c>
      <c r="G368" s="40">
        <f t="shared" si="182"/>
        <v>125.36095468729089</v>
      </c>
      <c r="H368" s="36">
        <f>(1+I366)*(1+I367)*(1+I368)-1</f>
        <v>-0.2194771405</v>
      </c>
      <c r="I368" s="4">
        <v>-0.126</v>
      </c>
      <c r="J368" s="4">
        <f t="shared" si="199"/>
        <v>0.31227977021285702</v>
      </c>
      <c r="K368" s="40">
        <f t="shared" si="184"/>
        <v>131.2279770212858</v>
      </c>
      <c r="L368" s="36">
        <f>(1+M366)*(1+M367)*(1+M368)-1</f>
        <v>-0.20900979737499992</v>
      </c>
      <c r="M368" s="4">
        <v>-0.13750000000000001</v>
      </c>
      <c r="N368" s="4">
        <f t="shared" si="203"/>
        <v>0.34104567745366943</v>
      </c>
      <c r="O368" s="40">
        <f t="shared" si="186"/>
        <v>134.10456774536689</v>
      </c>
      <c r="P368" s="36">
        <f>(1+Q366)*(1+Q367)*(1+Q368)-1</f>
        <v>-0.2934863290630757</v>
      </c>
      <c r="Q368" s="4">
        <v>-0.189803572054457</v>
      </c>
      <c r="R368" s="4">
        <f t="shared" si="187"/>
        <v>0.15192675964091684</v>
      </c>
      <c r="S368" s="41">
        <f t="shared" si="188"/>
        <v>115.19267596409171</v>
      </c>
    </row>
    <row r="369" spans="1:19" ht="13.5" x14ac:dyDescent="0.25">
      <c r="A369" s="2">
        <v>43951</v>
      </c>
      <c r="B369" s="49">
        <v>1454248.21</v>
      </c>
      <c r="C369" s="6">
        <v>6</v>
      </c>
      <c r="D369" s="37"/>
      <c r="E369" s="4">
        <v>0.11360000000000001</v>
      </c>
      <c r="F369" s="4">
        <f t="shared" ref="F369:F374" si="204">(F368+1)*(E369+1)-1</f>
        <v>0.39601959139767318</v>
      </c>
      <c r="G369" s="40">
        <f t="shared" si="182"/>
        <v>139.60195913976713</v>
      </c>
      <c r="H369" s="37"/>
      <c r="I369" s="4">
        <v>0.1149</v>
      </c>
      <c r="J369" s="4">
        <f t="shared" si="199"/>
        <v>0.46306071581031438</v>
      </c>
      <c r="K369" s="40">
        <f t="shared" si="184"/>
        <v>146.30607158103155</v>
      </c>
      <c r="L369" s="37"/>
      <c r="M369" s="4">
        <v>0.13239999999999999</v>
      </c>
      <c r="N369" s="4">
        <f t="shared" ref="N369:N374" si="205">(N368+1)*(M369+1)-1</f>
        <v>0.51860012514853526</v>
      </c>
      <c r="O369" s="40">
        <f t="shared" si="186"/>
        <v>151.86001251485348</v>
      </c>
      <c r="P369" s="37"/>
      <c r="Q369" s="4">
        <v>9.5797540325072608E-2</v>
      </c>
      <c r="R369" s="4">
        <f t="shared" si="187"/>
        <v>0.2622785098491478</v>
      </c>
      <c r="S369" s="41">
        <f t="shared" si="188"/>
        <v>126.2278509849148</v>
      </c>
    </row>
    <row r="370" spans="1:19" ht="13.5" x14ac:dyDescent="0.25">
      <c r="A370" s="2">
        <v>43982</v>
      </c>
      <c r="B370" s="49">
        <v>1493881.15</v>
      </c>
      <c r="C370" s="6">
        <v>6</v>
      </c>
      <c r="D370" s="37"/>
      <c r="E370" s="4">
        <v>2.7300000000000001E-2</v>
      </c>
      <c r="F370" s="4">
        <f t="shared" si="204"/>
        <v>0.4341309262428299</v>
      </c>
      <c r="G370" s="40">
        <f t="shared" si="182"/>
        <v>143.4130926242828</v>
      </c>
      <c r="H370" s="37"/>
      <c r="I370" s="4">
        <v>2.8000000000000001E-2</v>
      </c>
      <c r="J370" s="4">
        <f t="shared" si="199"/>
        <v>0.50402641585300323</v>
      </c>
      <c r="K370" s="40">
        <f t="shared" si="184"/>
        <v>150.40264158530044</v>
      </c>
      <c r="L370" s="37"/>
      <c r="M370" s="4">
        <v>5.3499999999999999E-2</v>
      </c>
      <c r="N370" s="4">
        <f t="shared" si="205"/>
        <v>0.59984523184398197</v>
      </c>
      <c r="O370" s="40">
        <f t="shared" si="186"/>
        <v>159.98452318439817</v>
      </c>
      <c r="P370" s="37"/>
      <c r="Q370" s="4">
        <v>2.3371364438754497E-2</v>
      </c>
      <c r="R370" s="4">
        <f t="shared" si="187"/>
        <v>0.29177968092604023</v>
      </c>
      <c r="S370" s="41">
        <f t="shared" si="188"/>
        <v>129.17796809260403</v>
      </c>
    </row>
    <row r="371" spans="1:19" ht="13.5" x14ac:dyDescent="0.25">
      <c r="A371" s="2">
        <v>44012</v>
      </c>
      <c r="B371" s="49">
        <v>1509555.59</v>
      </c>
      <c r="C371" s="6">
        <v>6</v>
      </c>
      <c r="D371" s="36">
        <f>(1+E369)*(1+E370)*(1+E371)-1</f>
        <v>0.15601329344000003</v>
      </c>
      <c r="E371" s="4">
        <v>1.0500000000000001E-2</v>
      </c>
      <c r="F371" s="4">
        <f t="shared" si="204"/>
        <v>0.44918930096837961</v>
      </c>
      <c r="G371" s="40">
        <f t="shared" si="182"/>
        <v>144.91893009683776</v>
      </c>
      <c r="H371" s="36">
        <f>(1+I369)*(1+I370)*(1+I371)-1</f>
        <v>0.15826604231999997</v>
      </c>
      <c r="I371" s="4">
        <v>1.06E-2</v>
      </c>
      <c r="J371" s="4">
        <f t="shared" si="199"/>
        <v>0.51996909586104501</v>
      </c>
      <c r="K371" s="40">
        <f t="shared" si="184"/>
        <v>151.99690958610461</v>
      </c>
      <c r="L371" s="36">
        <f>(1+M369)*(1+M370)*(1+M371)-1</f>
        <v>0.22030271986000005</v>
      </c>
      <c r="M371" s="4">
        <v>2.29E-2</v>
      </c>
      <c r="N371" s="4">
        <f t="shared" si="205"/>
        <v>0.63648168765320912</v>
      </c>
      <c r="O371" s="40">
        <f t="shared" si="186"/>
        <v>163.64816876532089</v>
      </c>
      <c r="P371" s="36">
        <f>(1+Q369)*(1+Q370)*(1+Q371)-1</f>
        <v>0.1085779618070577</v>
      </c>
      <c r="Q371" s="4">
        <v>-1.1440853104075398E-2</v>
      </c>
      <c r="R371" s="4">
        <f t="shared" si="187"/>
        <v>0.27700061935373599</v>
      </c>
      <c r="S371" s="41">
        <f t="shared" si="188"/>
        <v>127.70006193537361</v>
      </c>
    </row>
    <row r="372" spans="1:19" ht="13.5" x14ac:dyDescent="0.25">
      <c r="A372" s="2">
        <v>44043</v>
      </c>
      <c r="B372" s="49">
        <v>1567045.43</v>
      </c>
      <c r="C372" s="6">
        <v>6</v>
      </c>
      <c r="D372" s="37"/>
      <c r="E372" s="4">
        <v>3.8100000000000002E-2</v>
      </c>
      <c r="F372" s="4">
        <f t="shared" si="204"/>
        <v>0.50440341333527483</v>
      </c>
      <c r="G372" s="40">
        <f t="shared" si="182"/>
        <v>150.44034133352727</v>
      </c>
      <c r="H372" s="37"/>
      <c r="I372" s="4">
        <v>3.9300000000000002E-2</v>
      </c>
      <c r="J372" s="4">
        <f t="shared" si="199"/>
        <v>0.57970388132838391</v>
      </c>
      <c r="K372" s="40">
        <f t="shared" si="184"/>
        <v>157.97038813283851</v>
      </c>
      <c r="L372" s="37"/>
      <c r="M372" s="4">
        <v>5.6800000000000003E-2</v>
      </c>
      <c r="N372" s="4">
        <f t="shared" si="205"/>
        <v>0.72943384751191132</v>
      </c>
      <c r="O372" s="40">
        <f t="shared" si="186"/>
        <v>172.9433847511911</v>
      </c>
      <c r="P372" s="37"/>
      <c r="Q372" s="4">
        <v>2.8347799909688599E-2</v>
      </c>
      <c r="R372" s="4">
        <f t="shared" si="187"/>
        <v>0.31320077739572416</v>
      </c>
      <c r="S372" s="41">
        <f t="shared" si="188"/>
        <v>131.32007773957241</v>
      </c>
    </row>
    <row r="373" spans="1:19" ht="13.5" x14ac:dyDescent="0.25">
      <c r="A373" s="2">
        <v>44074</v>
      </c>
      <c r="B373" s="49">
        <v>1765050.72</v>
      </c>
      <c r="C373" s="6">
        <v>7</v>
      </c>
      <c r="D373" s="37"/>
      <c r="E373" s="4">
        <v>2.24E-2</v>
      </c>
      <c r="F373" s="4">
        <f t="shared" si="204"/>
        <v>0.53810204979398502</v>
      </c>
      <c r="G373" s="40">
        <f t="shared" si="182"/>
        <v>153.81020497939829</v>
      </c>
      <c r="H373" s="37"/>
      <c r="I373" s="4">
        <v>2.3199999999999998E-2</v>
      </c>
      <c r="J373" s="4">
        <f t="shared" si="199"/>
        <v>0.61635301137520249</v>
      </c>
      <c r="K373" s="40">
        <f t="shared" si="184"/>
        <v>161.63530113752037</v>
      </c>
      <c r="L373" s="37"/>
      <c r="M373" s="4">
        <v>7.2499999999999995E-2</v>
      </c>
      <c r="N373" s="4">
        <f t="shared" si="205"/>
        <v>0.85481780145652486</v>
      </c>
      <c r="O373" s="40">
        <f t="shared" si="186"/>
        <v>185.48178014565246</v>
      </c>
      <c r="P373" s="37"/>
      <c r="Q373" s="4">
        <v>2.0090640992280303E-2</v>
      </c>
      <c r="R373" s="4">
        <f t="shared" si="187"/>
        <v>0.33958382276516508</v>
      </c>
      <c r="S373" s="41">
        <f t="shared" si="188"/>
        <v>133.95838227651649</v>
      </c>
    </row>
    <row r="374" spans="1:19" ht="13.5" x14ac:dyDescent="0.25">
      <c r="A374" s="2">
        <v>44104</v>
      </c>
      <c r="B374" s="49">
        <v>1726514.56</v>
      </c>
      <c r="C374" s="6">
        <v>7</v>
      </c>
      <c r="D374" s="36">
        <f>(1+E372)*(1+E373)*(1+E374)-1</f>
        <v>3.8215935008000024E-2</v>
      </c>
      <c r="E374" s="4">
        <v>-2.18E-2</v>
      </c>
      <c r="F374" s="4">
        <f t="shared" si="204"/>
        <v>0.50457142510847608</v>
      </c>
      <c r="G374" s="40">
        <f t="shared" si="182"/>
        <v>150.4571425108474</v>
      </c>
      <c r="H374" s="36">
        <f>(1+I372)*(1+I373)*(1+I374)-1</f>
        <v>4.0229383631999793E-2</v>
      </c>
      <c r="I374" s="4">
        <v>-2.18E-2</v>
      </c>
      <c r="J374" s="4">
        <f t="shared" si="199"/>
        <v>0.58111651572722312</v>
      </c>
      <c r="K374" s="40">
        <f t="shared" si="184"/>
        <v>158.11165157272242</v>
      </c>
      <c r="L374" s="36">
        <f>(1+M372)*(1+M373)*(1+M374)-1</f>
        <v>9.216158480000014E-2</v>
      </c>
      <c r="M374" s="4">
        <v>-3.6400000000000002E-2</v>
      </c>
      <c r="N374" s="4">
        <f t="shared" si="205"/>
        <v>0.78730243348350748</v>
      </c>
      <c r="O374" s="40">
        <f t="shared" si="186"/>
        <v>178.73024334835071</v>
      </c>
      <c r="P374" s="36">
        <f>(1+Q372)*(1+Q373)*(1+Q374)-1</f>
        <v>2.3213419631060717E-2</v>
      </c>
      <c r="Q374" s="4">
        <v>-2.4589466971355698E-2</v>
      </c>
      <c r="R374" s="4">
        <f t="shared" si="187"/>
        <v>0.30664417059991878</v>
      </c>
      <c r="S374" s="41">
        <f t="shared" si="188"/>
        <v>130.66441705999185</v>
      </c>
    </row>
    <row r="375" spans="1:19" ht="13.5" x14ac:dyDescent="0.25">
      <c r="A375" s="2">
        <v>44135</v>
      </c>
      <c r="B375" s="49">
        <v>1705580.85</v>
      </c>
      <c r="C375" s="6">
        <v>7</v>
      </c>
      <c r="D375" s="37"/>
      <c r="E375" s="4">
        <v>-1.2200000000000001E-2</v>
      </c>
      <c r="F375" s="4">
        <f t="shared" ref="F375:F380" si="206">(F374+1)*(E375+1)-1</f>
        <v>0.4862156537221527</v>
      </c>
      <c r="G375" s="40">
        <f t="shared" si="182"/>
        <v>148.62156537221506</v>
      </c>
      <c r="H375" s="37"/>
      <c r="I375" s="4">
        <v>-1.0800000000000001E-2</v>
      </c>
      <c r="J375" s="4">
        <f t="shared" si="199"/>
        <v>0.56404045735736896</v>
      </c>
      <c r="K375" s="40">
        <f t="shared" si="184"/>
        <v>156.40404573573701</v>
      </c>
      <c r="L375" s="37"/>
      <c r="M375" s="4">
        <v>-2.1600000000000001E-2</v>
      </c>
      <c r="N375" s="4">
        <f t="shared" ref="N375:N380" si="207">(N374+1)*(M375+1)-1</f>
        <v>0.74869670092026386</v>
      </c>
      <c r="O375" s="40">
        <f t="shared" si="186"/>
        <v>174.86967009202635</v>
      </c>
      <c r="P375" s="37"/>
      <c r="Q375" s="4">
        <v>1.6541083015968901E-2</v>
      </c>
      <c r="R375" s="4">
        <f t="shared" si="187"/>
        <v>0.32825748029814394</v>
      </c>
      <c r="S375" s="41">
        <f t="shared" si="188"/>
        <v>132.82574802981435</v>
      </c>
    </row>
    <row r="376" spans="1:19" ht="13.5" x14ac:dyDescent="0.25">
      <c r="A376" s="2">
        <v>44165</v>
      </c>
      <c r="B376" s="49">
        <v>1903698.08</v>
      </c>
      <c r="C376" s="6">
        <v>7</v>
      </c>
      <c r="D376" s="37"/>
      <c r="E376" s="4">
        <v>0.1162</v>
      </c>
      <c r="F376" s="4">
        <f t="shared" si="206"/>
        <v>0.65891391268466704</v>
      </c>
      <c r="G376" s="40">
        <f t="shared" si="182"/>
        <v>165.89139126846646</v>
      </c>
      <c r="H376" s="37"/>
      <c r="I376" s="4">
        <v>0.11700000000000001</v>
      </c>
      <c r="J376" s="4">
        <f t="shared" si="199"/>
        <v>0.7470331908681811</v>
      </c>
      <c r="K376" s="40">
        <f t="shared" si="184"/>
        <v>174.70331908681825</v>
      </c>
      <c r="L376" s="37"/>
      <c r="M376" s="4">
        <v>0.1216</v>
      </c>
      <c r="N376" s="4">
        <f t="shared" si="207"/>
        <v>0.96133821975216782</v>
      </c>
      <c r="O376" s="40">
        <f t="shared" si="186"/>
        <v>196.13382197521673</v>
      </c>
      <c r="P376" s="37"/>
      <c r="Q376" s="4">
        <v>0.13120447638801799</v>
      </c>
      <c r="R376" s="4">
        <f t="shared" si="187"/>
        <v>0.50253080750913015</v>
      </c>
      <c r="S376" s="41">
        <f t="shared" si="188"/>
        <v>150.25308075091294</v>
      </c>
    </row>
    <row r="377" spans="1:19" ht="13.5" x14ac:dyDescent="0.25">
      <c r="A377" s="2">
        <v>44196</v>
      </c>
      <c r="B377" s="49">
        <v>1897295.96</v>
      </c>
      <c r="C377" s="6">
        <v>7</v>
      </c>
      <c r="D377" s="36">
        <f>(1+E375)*(1+E376)*(1+E377)-1</f>
        <v>0.13389569902399989</v>
      </c>
      <c r="E377" s="4">
        <v>2.8400000000000002E-2</v>
      </c>
      <c r="F377" s="4">
        <f t="shared" si="206"/>
        <v>0.70602706780491165</v>
      </c>
      <c r="G377" s="40">
        <f t="shared" si="182"/>
        <v>170.60270678049091</v>
      </c>
      <c r="H377" s="36">
        <f>(1+I375)*(1+I376)*(1+I377)-1</f>
        <v>0.13631659375999994</v>
      </c>
      <c r="I377" s="4">
        <v>2.8400000000000002E-2</v>
      </c>
      <c r="J377" s="4">
        <f t="shared" si="199"/>
        <v>0.79664893348883736</v>
      </c>
      <c r="K377" s="40">
        <f t="shared" si="184"/>
        <v>179.66489334888388</v>
      </c>
      <c r="L377" s="36">
        <f>(1+M375)*(1+M376)*(1+M377)-1</f>
        <v>0.1467552447999998</v>
      </c>
      <c r="M377" s="4">
        <v>4.4999999999999998E-2</v>
      </c>
      <c r="N377" s="4">
        <f t="shared" si="207"/>
        <v>1.0495984396410152</v>
      </c>
      <c r="O377" s="40">
        <f t="shared" si="186"/>
        <v>204.95984396410148</v>
      </c>
      <c r="P377" s="36">
        <f>(1+Q375)*(1+Q376)*(1+Q377)-1</f>
        <v>0.19085445917305455</v>
      </c>
      <c r="Q377" s="4">
        <v>3.5601419508288996E-2</v>
      </c>
      <c r="R377" s="4">
        <f t="shared" si="187"/>
        <v>0.55602303711139101</v>
      </c>
      <c r="S377" s="41">
        <f t="shared" si="188"/>
        <v>155.60230371113903</v>
      </c>
    </row>
    <row r="378" spans="1:19" ht="13.5" x14ac:dyDescent="0.25">
      <c r="A378" s="2">
        <v>44227</v>
      </c>
      <c r="B378" s="49">
        <v>2149796.5</v>
      </c>
      <c r="C378" s="6">
        <v>8</v>
      </c>
      <c r="D378" s="37"/>
      <c r="E378" s="4">
        <v>-0.01</v>
      </c>
      <c r="F378" s="4">
        <f t="shared" si="206"/>
        <v>0.68896679712686248</v>
      </c>
      <c r="G378" s="40">
        <f t="shared" si="182"/>
        <v>168.89667971268599</v>
      </c>
      <c r="H378" s="37"/>
      <c r="I378" s="4">
        <v>-8.8999999999999999E-3</v>
      </c>
      <c r="J378" s="4">
        <f t="shared" si="199"/>
        <v>0.78065875798078666</v>
      </c>
      <c r="K378" s="40">
        <f t="shared" si="184"/>
        <v>178.06587579807882</v>
      </c>
      <c r="L378" s="37"/>
      <c r="M378" s="4">
        <v>-4.4000000000000003E-3</v>
      </c>
      <c r="N378" s="4">
        <f t="shared" si="207"/>
        <v>1.0405802065065948</v>
      </c>
      <c r="O378" s="40">
        <f t="shared" si="186"/>
        <v>204.05802065065944</v>
      </c>
      <c r="P378" s="37"/>
      <c r="Q378" s="4">
        <v>6.7208667127229803E-3</v>
      </c>
      <c r="R378" s="4">
        <f t="shared" si="187"/>
        <v>0.56648086054574298</v>
      </c>
      <c r="S378" s="41">
        <f t="shared" si="188"/>
        <v>156.64808605457424</v>
      </c>
    </row>
    <row r="379" spans="1:19" ht="13.5" x14ac:dyDescent="0.25">
      <c r="A379" s="2">
        <v>44255</v>
      </c>
      <c r="B379" s="49">
        <v>2238725.8199999998</v>
      </c>
      <c r="C379" s="6">
        <v>8</v>
      </c>
      <c r="D379" s="37"/>
      <c r="E379" s="4">
        <v>4.1399999999999999E-2</v>
      </c>
      <c r="F379" s="4">
        <f t="shared" si="206"/>
        <v>0.75889002252791471</v>
      </c>
      <c r="G379" s="40">
        <f t="shared" si="182"/>
        <v>175.88900225279122</v>
      </c>
      <c r="H379" s="37"/>
      <c r="I379" s="4">
        <v>4.19E-2</v>
      </c>
      <c r="J379" s="4">
        <f t="shared" si="199"/>
        <v>0.8552683599401818</v>
      </c>
      <c r="K379" s="40">
        <f t="shared" si="184"/>
        <v>185.52683599401834</v>
      </c>
      <c r="L379" s="37"/>
      <c r="M379" s="4">
        <v>3.1300000000000001E-2</v>
      </c>
      <c r="N379" s="4">
        <f t="shared" si="207"/>
        <v>1.1044503669702515</v>
      </c>
      <c r="O379" s="40">
        <f t="shared" si="186"/>
        <v>210.4450366970251</v>
      </c>
      <c r="P379" s="37"/>
      <c r="Q379" s="4">
        <v>8.6656183819452601E-2</v>
      </c>
      <c r="R379" s="4">
        <f t="shared" si="187"/>
        <v>0.70222611394684931</v>
      </c>
      <c r="S379" s="41">
        <f t="shared" si="188"/>
        <v>170.22261139468486</v>
      </c>
    </row>
    <row r="380" spans="1:19" ht="13.5" x14ac:dyDescent="0.25">
      <c r="A380" s="2">
        <v>44286</v>
      </c>
      <c r="B380" s="49">
        <v>2384601.4900000002</v>
      </c>
      <c r="C380" s="6">
        <v>8</v>
      </c>
      <c r="D380" s="36">
        <f>(1+E378)*(1+E379)*(1+E380)-1</f>
        <v>9.820628720000002E-2</v>
      </c>
      <c r="E380" s="4">
        <v>6.5199999999999994E-2</v>
      </c>
      <c r="F380" s="4">
        <f t="shared" si="206"/>
        <v>0.87356965199673464</v>
      </c>
      <c r="G380" s="40">
        <f t="shared" si="182"/>
        <v>187.3569651996732</v>
      </c>
      <c r="H380" s="36">
        <f>(1+I378)*(1+I379)*(1+I380)-1</f>
        <v>0.10026416439500019</v>
      </c>
      <c r="I380" s="4">
        <v>6.5500000000000003E-2</v>
      </c>
      <c r="J380" s="4">
        <f t="shared" si="199"/>
        <v>0.97678843751626387</v>
      </c>
      <c r="K380" s="40">
        <f t="shared" si="184"/>
        <v>197.67884375162657</v>
      </c>
      <c r="L380" s="36">
        <f>(1+M378)*(1+M379)*(1+M380)-1</f>
        <v>6.3520369624000317E-2</v>
      </c>
      <c r="M380" s="4">
        <v>3.5799999999999998E-2</v>
      </c>
      <c r="N380" s="4">
        <f t="shared" si="207"/>
        <v>1.1797896901077864</v>
      </c>
      <c r="O380" s="40">
        <f t="shared" si="186"/>
        <v>217.9789690107786</v>
      </c>
      <c r="P380" s="36">
        <f>(1+Q378)*(1+Q379)*(1+Q380)-1</f>
        <v>0.1970417206150803</v>
      </c>
      <c r="Q380" s="4">
        <v>9.4228597716532012E-2</v>
      </c>
      <c r="R380" s="4">
        <f t="shared" si="187"/>
        <v>0.86262449366052252</v>
      </c>
      <c r="S380" s="41">
        <f t="shared" si="188"/>
        <v>186.26244936605218</v>
      </c>
    </row>
    <row r="381" spans="1:19" ht="13.5" x14ac:dyDescent="0.25">
      <c r="A381" s="2">
        <v>44316</v>
      </c>
      <c r="B381" s="49">
        <v>2452836.86</v>
      </c>
      <c r="C381" s="6">
        <v>8</v>
      </c>
      <c r="D381" s="37"/>
      <c r="E381" s="4">
        <v>2.86E-2</v>
      </c>
      <c r="F381" s="4">
        <f t="shared" ref="F381:F389" si="208">(F380+1)*(E381+1)-1</f>
        <v>0.9271537440438411</v>
      </c>
      <c r="G381" s="40">
        <f t="shared" si="182"/>
        <v>192.71537440438385</v>
      </c>
      <c r="H381" s="37"/>
      <c r="I381" s="4">
        <v>2.9700000000000001E-2</v>
      </c>
      <c r="J381" s="4">
        <f t="shared" si="199"/>
        <v>1.0354990541104971</v>
      </c>
      <c r="K381" s="40">
        <f t="shared" si="184"/>
        <v>203.54990541104991</v>
      </c>
      <c r="L381" s="37"/>
      <c r="M381" s="4">
        <v>5.1499999999999997E-2</v>
      </c>
      <c r="N381" s="4">
        <f t="shared" ref="N381:N389" si="209">(N380+1)*(M381+1)-1</f>
        <v>1.2920488591483377</v>
      </c>
      <c r="O381" s="40">
        <f t="shared" si="186"/>
        <v>229.20488591483371</v>
      </c>
      <c r="P381" s="37"/>
      <c r="Q381" s="4">
        <v>3.9225503648128601E-2</v>
      </c>
      <c r="R381" s="4">
        <f t="shared" si="187"/>
        <v>0.9356868775316971</v>
      </c>
      <c r="S381" s="41">
        <f t="shared" si="188"/>
        <v>193.56868775316963</v>
      </c>
    </row>
    <row r="382" spans="1:19" ht="13.5" x14ac:dyDescent="0.25">
      <c r="A382" s="2">
        <v>44347</v>
      </c>
      <c r="B382" s="49">
        <v>2584816.85</v>
      </c>
      <c r="C382" s="6">
        <v>9</v>
      </c>
      <c r="D382" s="37"/>
      <c r="E382" s="4">
        <v>1.21E-2</v>
      </c>
      <c r="F382" s="4">
        <f t="shared" si="208"/>
        <v>0.95047230434677155</v>
      </c>
      <c r="G382" s="40">
        <f t="shared" si="182"/>
        <v>195.04723043467689</v>
      </c>
      <c r="H382" s="37"/>
      <c r="I382" s="4">
        <v>1.26E-2</v>
      </c>
      <c r="J382" s="4">
        <f t="shared" si="199"/>
        <v>1.0611463421922891</v>
      </c>
      <c r="K382" s="40">
        <f t="shared" si="184"/>
        <v>206.11463421922912</v>
      </c>
      <c r="L382" s="37"/>
      <c r="M382" s="4">
        <v>4.4999999999999997E-3</v>
      </c>
      <c r="N382" s="4">
        <f t="shared" si="209"/>
        <v>1.3023630790145049</v>
      </c>
      <c r="O382" s="40">
        <f t="shared" si="186"/>
        <v>230.23630790145046</v>
      </c>
      <c r="P382" s="37"/>
      <c r="Q382" s="4">
        <v>2.2044545133576697E-2</v>
      </c>
      <c r="R382" s="4">
        <f t="shared" si="187"/>
        <v>0.9783582142679168</v>
      </c>
      <c r="S382" s="41">
        <f t="shared" si="188"/>
        <v>197.8358214267916</v>
      </c>
    </row>
    <row r="383" spans="1:19" ht="13.5" x14ac:dyDescent="0.25">
      <c r="A383" s="2">
        <v>44377</v>
      </c>
      <c r="B383" s="49">
        <v>2463165.7200000002</v>
      </c>
      <c r="C383" s="6">
        <v>8</v>
      </c>
      <c r="D383" s="36">
        <f>(1+E381)*(1+E382)*(1+E383)-1</f>
        <v>3.3030005337999935E-2</v>
      </c>
      <c r="E383" s="4">
        <v>-7.7000000000000002E-3</v>
      </c>
      <c r="F383" s="4">
        <f t="shared" si="208"/>
        <v>0.9354536676033014</v>
      </c>
      <c r="G383" s="40">
        <f t="shared" si="182"/>
        <v>193.54536676032987</v>
      </c>
      <c r="H383" s="36">
        <f>(1+I381)*(1+I382)*(1+I383)-1</f>
        <v>3.4958430772000115E-2</v>
      </c>
      <c r="I383" s="4">
        <v>-7.4000000000000003E-3</v>
      </c>
      <c r="J383" s="4">
        <f t="shared" si="199"/>
        <v>1.0458938592600662</v>
      </c>
      <c r="K383" s="40">
        <f t="shared" si="184"/>
        <v>204.58938592600683</v>
      </c>
      <c r="L383" s="36">
        <f>(1+M381)*(1+M382)*(1+M383)-1</f>
        <v>8.2215051049999932E-2</v>
      </c>
      <c r="M383" s="4">
        <v>2.46E-2</v>
      </c>
      <c r="N383" s="4">
        <f t="shared" si="209"/>
        <v>1.3590012107582616</v>
      </c>
      <c r="O383" s="40">
        <f t="shared" si="186"/>
        <v>235.90012107582612</v>
      </c>
      <c r="P383" s="36">
        <f>(1+Q381)*(1+Q382)*(1+Q383)-1</f>
        <v>3.3282245519624221E-2</v>
      </c>
      <c r="Q383" s="4">
        <v>-2.7164643142448E-2</v>
      </c>
      <c r="R383" s="4">
        <f t="shared" si="187"/>
        <v>0.92461681936939799</v>
      </c>
      <c r="S383" s="41">
        <f t="shared" si="188"/>
        <v>192.46168193693973</v>
      </c>
    </row>
    <row r="384" spans="1:19" ht="13.5" x14ac:dyDescent="0.25">
      <c r="A384" s="2">
        <v>44408</v>
      </c>
      <c r="B384" s="49">
        <v>3214902.15</v>
      </c>
      <c r="C384" s="6">
        <v>9</v>
      </c>
      <c r="D384" s="37"/>
      <c r="E384" s="4">
        <v>1.11E-2</v>
      </c>
      <c r="F384" s="4">
        <f t="shared" si="208"/>
        <v>0.95693720331369825</v>
      </c>
      <c r="G384" s="40">
        <f t="shared" ref="G384:G434" si="210">G383*(1+E384)</f>
        <v>195.69372033136955</v>
      </c>
      <c r="H384" s="37"/>
      <c r="I384" s="4">
        <v>1.2E-2</v>
      </c>
      <c r="J384" s="4">
        <f t="shared" ref="J384:J415" si="211">(J383+1)*(I384+1)-1</f>
        <v>1.0704445855711868</v>
      </c>
      <c r="K384" s="40">
        <f t="shared" ref="K384:K434" si="212">K383*(1+I384)</f>
        <v>207.0444585571189</v>
      </c>
      <c r="L384" s="37"/>
      <c r="M384" s="4">
        <v>1.6899999999999998E-2</v>
      </c>
      <c r="N384" s="4">
        <f t="shared" si="209"/>
        <v>1.398868331220076</v>
      </c>
      <c r="O384" s="40">
        <f t="shared" ref="O384:O434" si="213">O383*(1+M384)</f>
        <v>239.88683312200757</v>
      </c>
      <c r="P384" s="37"/>
      <c r="Q384" s="4">
        <v>-8.6850700390974592E-3</v>
      </c>
      <c r="R384" s="4">
        <f t="shared" ref="R384:R434" si="214">(R383+1)*(Q384+1)-1</f>
        <v>0.90790138749474969</v>
      </c>
      <c r="S384" s="41">
        <f t="shared" ref="S384:S434" si="215">S383*(1+Q384)</f>
        <v>190.79013874947489</v>
      </c>
    </row>
    <row r="385" spans="1:19" ht="13.5" x14ac:dyDescent="0.25">
      <c r="A385" s="2">
        <v>44439</v>
      </c>
      <c r="B385" s="49">
        <v>3255055.23</v>
      </c>
      <c r="C385" s="6">
        <v>10</v>
      </c>
      <c r="D385" s="37"/>
      <c r="E385" s="4">
        <v>1.18E-2</v>
      </c>
      <c r="F385" s="4">
        <f t="shared" si="208"/>
        <v>0.98002906231279985</v>
      </c>
      <c r="G385" s="40">
        <f t="shared" si="210"/>
        <v>198.00290623127972</v>
      </c>
      <c r="H385" s="37"/>
      <c r="I385" s="4">
        <v>1.2200000000000001E-2</v>
      </c>
      <c r="J385" s="4">
        <f t="shared" si="211"/>
        <v>1.0957040095151553</v>
      </c>
      <c r="K385" s="40">
        <f t="shared" si="212"/>
        <v>209.57040095151575</v>
      </c>
      <c r="L385" s="37"/>
      <c r="M385" s="4">
        <v>2.8500000000000001E-2</v>
      </c>
      <c r="N385" s="4">
        <f t="shared" si="209"/>
        <v>1.4672360786598482</v>
      </c>
      <c r="O385" s="40">
        <f t="shared" si="213"/>
        <v>246.72360786598477</v>
      </c>
      <c r="P385" s="37"/>
      <c r="Q385" s="4">
        <v>2.8731236077477396E-2</v>
      </c>
      <c r="R385" s="4">
        <f t="shared" si="214"/>
        <v>0.96271775267140813</v>
      </c>
      <c r="S385" s="41">
        <f t="shared" si="215"/>
        <v>196.27177526714073</v>
      </c>
    </row>
    <row r="386" spans="1:19" ht="13.5" x14ac:dyDescent="0.25">
      <c r="A386" s="2">
        <v>44469</v>
      </c>
      <c r="B386" s="49">
        <v>2912119.93</v>
      </c>
      <c r="C386" s="6">
        <v>8</v>
      </c>
      <c r="D386" s="36">
        <f>(1+E384)*(1+E385)*(1+E386)-1</f>
        <v>-3.0563099899998392E-3</v>
      </c>
      <c r="E386" s="4">
        <v>-2.5499999999999998E-2</v>
      </c>
      <c r="F386" s="4">
        <f t="shared" si="208"/>
        <v>0.92953832122382352</v>
      </c>
      <c r="G386" s="40">
        <f t="shared" si="210"/>
        <v>192.9538321223821</v>
      </c>
      <c r="H386" s="36">
        <f>(1+I384)*(1+I385)*(1+I386)-1</f>
        <v>-6.4765215999995629E-4</v>
      </c>
      <c r="I386" s="4">
        <v>-2.4400000000000002E-2</v>
      </c>
      <c r="J386" s="4">
        <f t="shared" si="211"/>
        <v>1.0445688316829855</v>
      </c>
      <c r="K386" s="40">
        <f t="shared" si="212"/>
        <v>204.45688316829876</v>
      </c>
      <c r="L386" s="36">
        <f>(1+M384)*(1+M385)*(1+M386)-1</f>
        <v>-1.078436085000134E-3</v>
      </c>
      <c r="M386" s="4">
        <v>-4.4900000000000002E-2</v>
      </c>
      <c r="N386" s="4">
        <f t="shared" si="209"/>
        <v>1.3564571787280211</v>
      </c>
      <c r="O386" s="40">
        <f t="shared" si="213"/>
        <v>235.64571787280204</v>
      </c>
      <c r="P386" s="36">
        <f>(1+Q384)*(1+Q385)*(1+Q386)-1</f>
        <v>-7.7455437231133129E-3</v>
      </c>
      <c r="Q386" s="4">
        <v>-2.7007519015165002E-2</v>
      </c>
      <c r="R386" s="4">
        <f t="shared" si="214"/>
        <v>0.90970961564473329</v>
      </c>
      <c r="S386" s="41">
        <f t="shared" si="215"/>
        <v>190.97096156447324</v>
      </c>
    </row>
    <row r="387" spans="1:19" ht="13.5" x14ac:dyDescent="0.25">
      <c r="A387" s="2">
        <v>44500</v>
      </c>
      <c r="B387" s="49">
        <v>2383847.7200000002</v>
      </c>
      <c r="C387" s="6">
        <v>8</v>
      </c>
      <c r="D387" s="37"/>
      <c r="E387" s="4">
        <v>3.6700000000000003E-2</v>
      </c>
      <c r="F387" s="4">
        <f t="shared" si="208"/>
        <v>1.0003523776127379</v>
      </c>
      <c r="G387" s="40">
        <f t="shared" si="210"/>
        <v>200.03523776127352</v>
      </c>
      <c r="H387" s="37"/>
      <c r="I387" s="4">
        <v>3.8100000000000002E-2</v>
      </c>
      <c r="J387" s="4">
        <f t="shared" si="211"/>
        <v>1.1224669041701074</v>
      </c>
      <c r="K387" s="40">
        <f t="shared" si="212"/>
        <v>212.24669041701094</v>
      </c>
      <c r="L387" s="37"/>
      <c r="M387" s="4">
        <v>6.7599999999999993E-2</v>
      </c>
      <c r="N387" s="4">
        <f t="shared" si="209"/>
        <v>1.5157536840100354</v>
      </c>
      <c r="O387" s="40">
        <f t="shared" si="213"/>
        <v>251.57536840100349</v>
      </c>
      <c r="P387" s="37"/>
      <c r="Q387" s="4">
        <v>2.9296751225512899E-2</v>
      </c>
      <c r="R387" s="4">
        <f t="shared" si="214"/>
        <v>0.96565790316724698</v>
      </c>
      <c r="S387" s="41">
        <f t="shared" si="215"/>
        <v>196.56579031672459</v>
      </c>
    </row>
    <row r="388" spans="1:19" ht="13.5" x14ac:dyDescent="0.25">
      <c r="A388" s="2">
        <v>44530</v>
      </c>
      <c r="B388" s="49">
        <v>2326796.02</v>
      </c>
      <c r="C388" s="6">
        <v>8</v>
      </c>
      <c r="D388" s="37"/>
      <c r="E388" s="4">
        <v>-2.3900000000000001E-2</v>
      </c>
      <c r="F388" s="4">
        <f t="shared" si="208"/>
        <v>0.95254395578779327</v>
      </c>
      <c r="G388" s="40">
        <f t="shared" si="210"/>
        <v>195.25439557877908</v>
      </c>
      <c r="H388" s="37"/>
      <c r="I388" s="4">
        <v>-2.3800000000000002E-2</v>
      </c>
      <c r="J388" s="4">
        <f t="shared" si="211"/>
        <v>1.0719521918508588</v>
      </c>
      <c r="K388" s="40">
        <f t="shared" si="212"/>
        <v>207.19521918508607</v>
      </c>
      <c r="L388" s="37"/>
      <c r="M388" s="4">
        <v>-1.52E-2</v>
      </c>
      <c r="N388" s="4">
        <f t="shared" si="209"/>
        <v>1.4775142280130829</v>
      </c>
      <c r="O388" s="40">
        <f t="shared" si="213"/>
        <v>247.75142280130822</v>
      </c>
      <c r="P388" s="37"/>
      <c r="Q388" s="4">
        <v>-2.3990091049349099E-2</v>
      </c>
      <c r="R388" s="4">
        <f t="shared" si="214"/>
        <v>0.91850159109839202</v>
      </c>
      <c r="S388" s="41">
        <f t="shared" si="215"/>
        <v>191.8501591098391</v>
      </c>
    </row>
    <row r="389" spans="1:19" ht="13.5" x14ac:dyDescent="0.25">
      <c r="A389" s="2">
        <v>44561</v>
      </c>
      <c r="B389" s="49">
        <v>3359523.78</v>
      </c>
      <c r="C389" s="6">
        <v>9</v>
      </c>
      <c r="D389" s="36">
        <f>(1+E387)*(1+E388)*(1+E389)-1</f>
        <v>7.3043011348000064E-2</v>
      </c>
      <c r="E389" s="4">
        <v>6.0400000000000002E-2</v>
      </c>
      <c r="F389" s="4">
        <f t="shared" si="208"/>
        <v>1.0704776107173761</v>
      </c>
      <c r="G389" s="40">
        <f t="shared" si="210"/>
        <v>207.04776107173734</v>
      </c>
      <c r="H389" s="36">
        <f>(1+I387)*(1+I388)*(1+I389)-1</f>
        <v>7.5919581674000147E-2</v>
      </c>
      <c r="I389" s="4">
        <v>6.1699999999999998E-2</v>
      </c>
      <c r="J389" s="4">
        <f t="shared" si="211"/>
        <v>1.1997916420880568</v>
      </c>
      <c r="K389" s="40">
        <f t="shared" si="212"/>
        <v>219.97916420880591</v>
      </c>
      <c r="L389" s="36">
        <f>(1+M387)*(1+M388)*(1+M389)-1</f>
        <v>9.2796555712000295E-2</v>
      </c>
      <c r="M389" s="4">
        <v>3.9399999999999998E-2</v>
      </c>
      <c r="N389" s="4">
        <f t="shared" si="209"/>
        <v>1.5751282885967988</v>
      </c>
      <c r="O389" s="40">
        <f t="shared" si="213"/>
        <v>257.51282885967981</v>
      </c>
      <c r="P389" s="36">
        <f>(1+Q387)*(1+Q388)*(1+Q389)-1</f>
        <v>7.7526979925816697E-2</v>
      </c>
      <c r="Q389" s="4">
        <v>7.2588964340049703E-2</v>
      </c>
      <c r="R389" s="4">
        <f t="shared" si="214"/>
        <v>1.0577636346809616</v>
      </c>
      <c r="S389" s="41">
        <f t="shared" si="215"/>
        <v>205.77636346809606</v>
      </c>
    </row>
    <row r="390" spans="1:19" ht="13.5" x14ac:dyDescent="0.25">
      <c r="A390" s="2">
        <v>44592</v>
      </c>
      <c r="B390" s="49">
        <v>3340546.5</v>
      </c>
      <c r="C390" s="6">
        <v>9</v>
      </c>
      <c r="D390" s="37"/>
      <c r="E390" s="4">
        <v>-5.5999999999999999E-3</v>
      </c>
      <c r="F390" s="4">
        <f t="shared" ref="F390:F395" si="216">(F389+1)*(E390+1)-1</f>
        <v>1.0588829360973588</v>
      </c>
      <c r="G390" s="40">
        <f t="shared" si="210"/>
        <v>205.8882936097356</v>
      </c>
      <c r="H390" s="37"/>
      <c r="I390" s="4">
        <v>-4.7000000000000002E-3</v>
      </c>
      <c r="J390" s="4">
        <f t="shared" si="211"/>
        <v>1.189452621370243</v>
      </c>
      <c r="K390" s="40">
        <f t="shared" si="212"/>
        <v>218.94526213702451</v>
      </c>
      <c r="L390" s="37"/>
      <c r="M390" s="4">
        <v>-5.8799999999999998E-2</v>
      </c>
      <c r="N390" s="4">
        <f t="shared" ref="N390:N395" si="217">(N389+1)*(M390+1)-1</f>
        <v>1.4237107452273072</v>
      </c>
      <c r="O390" s="40">
        <f t="shared" si="213"/>
        <v>242.37107452273065</v>
      </c>
      <c r="P390" s="37"/>
      <c r="Q390" s="4">
        <v>1.29042525220375E-2</v>
      </c>
      <c r="R390" s="4">
        <f t="shared" si="214"/>
        <v>1.0843175362535504</v>
      </c>
      <c r="S390" s="41">
        <f t="shared" si="215"/>
        <v>208.43175362535496</v>
      </c>
    </row>
    <row r="391" spans="1:19" ht="13.5" x14ac:dyDescent="0.25">
      <c r="A391" s="2">
        <v>44620</v>
      </c>
      <c r="B391" s="49">
        <v>3327783.86</v>
      </c>
      <c r="C391" s="6">
        <v>9</v>
      </c>
      <c r="D391" s="37"/>
      <c r="E391" s="4">
        <v>-3.8E-3</v>
      </c>
      <c r="F391" s="4">
        <f t="shared" si="216"/>
        <v>1.051059180940189</v>
      </c>
      <c r="G391" s="40">
        <f t="shared" si="210"/>
        <v>205.10591809401859</v>
      </c>
      <c r="H391" s="37"/>
      <c r="I391" s="4">
        <v>-3.7000000000000002E-3</v>
      </c>
      <c r="J391" s="4">
        <f t="shared" si="211"/>
        <v>1.1813516466711729</v>
      </c>
      <c r="K391" s="40">
        <f t="shared" si="212"/>
        <v>218.13516466711752</v>
      </c>
      <c r="L391" s="37"/>
      <c r="M391" s="4">
        <v>-2.52E-2</v>
      </c>
      <c r="N391" s="4">
        <f t="shared" si="217"/>
        <v>1.3626332344475789</v>
      </c>
      <c r="O391" s="40">
        <f t="shared" si="213"/>
        <v>236.26332344475784</v>
      </c>
      <c r="P391" s="37"/>
      <c r="Q391" s="4">
        <v>-1.67360015301488E-3</v>
      </c>
      <c r="R391" s="4">
        <f t="shared" si="214"/>
        <v>1.0808292221059448</v>
      </c>
      <c r="S391" s="41">
        <f t="shared" si="215"/>
        <v>208.0829222105944</v>
      </c>
    </row>
    <row r="392" spans="1:19" ht="13.5" x14ac:dyDescent="0.25">
      <c r="A392" s="2">
        <v>44651</v>
      </c>
      <c r="B392" s="49">
        <v>3528779.44</v>
      </c>
      <c r="C392" s="6">
        <v>10</v>
      </c>
      <c r="D392" s="36">
        <f>(1+E390)*(1+E391)*(1+E392)-1</f>
        <v>1.7863365199999981E-2</v>
      </c>
      <c r="E392" s="4">
        <v>2.75E-2</v>
      </c>
      <c r="F392" s="4">
        <f t="shared" si="216"/>
        <v>1.1074633084160443</v>
      </c>
      <c r="G392" s="40">
        <f t="shared" si="210"/>
        <v>210.74633084160411</v>
      </c>
      <c r="H392" s="36">
        <f>(1+I390)*(1+I391)*(1+I392)-1</f>
        <v>1.9184353441999979E-2</v>
      </c>
      <c r="I392" s="4">
        <v>2.7799999999999998E-2</v>
      </c>
      <c r="J392" s="4">
        <f t="shared" si="211"/>
        <v>1.2419932224486314</v>
      </c>
      <c r="K392" s="40">
        <f t="shared" si="212"/>
        <v>224.1993222448634</v>
      </c>
      <c r="L392" s="36">
        <f>(1+M390)*(1+M391)*(1+M392)-1</f>
        <v>-5.2791830975999932E-2</v>
      </c>
      <c r="M392" s="4">
        <v>3.2399999999999998E-2</v>
      </c>
      <c r="N392" s="4">
        <f t="shared" si="217"/>
        <v>1.4391825512436802</v>
      </c>
      <c r="O392" s="40">
        <f t="shared" si="213"/>
        <v>243.91825512436799</v>
      </c>
      <c r="P392" s="36">
        <f>(1+Q390)*(1+Q391)*(1+Q392)-1</f>
        <v>5.2668723966621922E-2</v>
      </c>
      <c r="Q392" s="4">
        <v>4.1000095794616394E-2</v>
      </c>
      <c r="R392" s="4">
        <f t="shared" si="214"/>
        <v>1.1661434195445257</v>
      </c>
      <c r="S392" s="41">
        <f t="shared" si="215"/>
        <v>216.61434195445247</v>
      </c>
    </row>
    <row r="393" spans="1:19" ht="13.5" x14ac:dyDescent="0.25">
      <c r="A393" s="2">
        <v>44681</v>
      </c>
      <c r="B393" s="49">
        <v>3392618.32</v>
      </c>
      <c r="C393" s="6">
        <v>10</v>
      </c>
      <c r="D393" s="37"/>
      <c r="E393" s="4">
        <v>-4.0399999999999998E-2</v>
      </c>
      <c r="F393" s="4">
        <f t="shared" si="216"/>
        <v>1.022321790756036</v>
      </c>
      <c r="G393" s="40">
        <f t="shared" si="210"/>
        <v>202.23217907560331</v>
      </c>
      <c r="H393" s="37"/>
      <c r="I393" s="4">
        <v>-3.95E-2</v>
      </c>
      <c r="J393" s="4">
        <f t="shared" si="211"/>
        <v>1.1534344901619105</v>
      </c>
      <c r="K393" s="40">
        <f t="shared" si="212"/>
        <v>215.3434490161913</v>
      </c>
      <c r="L393" s="37"/>
      <c r="M393" s="4">
        <v>-8.9700000000000002E-2</v>
      </c>
      <c r="N393" s="4">
        <f t="shared" si="217"/>
        <v>1.2203878763971221</v>
      </c>
      <c r="O393" s="40">
        <f t="shared" si="213"/>
        <v>222.03878763971218</v>
      </c>
      <c r="P393" s="37"/>
      <c r="Q393" s="4">
        <v>-3.4849938871288101E-2</v>
      </c>
      <c r="R393" s="4">
        <f t="shared" si="214"/>
        <v>1.0906534537869561</v>
      </c>
      <c r="S393" s="41">
        <f t="shared" si="215"/>
        <v>209.06534537869553</v>
      </c>
    </row>
    <row r="394" spans="1:19" ht="13.5" x14ac:dyDescent="0.25">
      <c r="A394" s="2">
        <v>44712</v>
      </c>
      <c r="B394" s="49">
        <v>3470443.75</v>
      </c>
      <c r="C394" s="6">
        <v>10</v>
      </c>
      <c r="D394" s="37"/>
      <c r="E394" s="4">
        <v>2.2800000000000001E-2</v>
      </c>
      <c r="F394" s="4">
        <f t="shared" si="216"/>
        <v>1.0684307275852736</v>
      </c>
      <c r="G394" s="40">
        <f t="shared" si="210"/>
        <v>206.84307275852706</v>
      </c>
      <c r="H394" s="37"/>
      <c r="I394" s="4">
        <v>2.29E-2</v>
      </c>
      <c r="J394" s="4">
        <f t="shared" si="211"/>
        <v>1.202748139986618</v>
      </c>
      <c r="K394" s="40">
        <f t="shared" si="212"/>
        <v>220.27481399866207</v>
      </c>
      <c r="L394" s="37"/>
      <c r="M394" s="4">
        <v>-1.2999999999999999E-3</v>
      </c>
      <c r="N394" s="4">
        <f t="shared" si="217"/>
        <v>1.2175013721578059</v>
      </c>
      <c r="O394" s="40">
        <f t="shared" si="213"/>
        <v>221.75013721578057</v>
      </c>
      <c r="P394" s="37"/>
      <c r="Q394" s="4">
        <v>5.3035359176223797E-2</v>
      </c>
      <c r="R394" s="4">
        <f t="shared" si="214"/>
        <v>1.2015320106215603</v>
      </c>
      <c r="S394" s="41">
        <f t="shared" si="215"/>
        <v>220.15320106215592</v>
      </c>
    </row>
    <row r="395" spans="1:19" ht="13.5" x14ac:dyDescent="0.25">
      <c r="A395" s="2">
        <v>44742</v>
      </c>
      <c r="B395" s="49">
        <v>3135542.65</v>
      </c>
      <c r="C395" s="6">
        <v>9</v>
      </c>
      <c r="D395" s="36">
        <f>(1+E393)*(1+E394)*(1+E395)-1</f>
        <v>-8.4869092287999992E-2</v>
      </c>
      <c r="E395" s="4">
        <v>-6.7599999999999993E-2</v>
      </c>
      <c r="F395" s="4">
        <f t="shared" si="216"/>
        <v>0.92860481040050913</v>
      </c>
      <c r="G395" s="40">
        <f t="shared" si="210"/>
        <v>192.86048104005064</v>
      </c>
      <c r="H395" s="36">
        <f>(1+I393)*(1+I394)*(1+I395)-1</f>
        <v>-8.2840497425000104E-2</v>
      </c>
      <c r="I395" s="4">
        <v>-6.6500000000000004E-2</v>
      </c>
      <c r="J395" s="4">
        <f t="shared" si="211"/>
        <v>1.0562653886775077</v>
      </c>
      <c r="K395" s="40">
        <f t="shared" si="212"/>
        <v>205.62653886775104</v>
      </c>
      <c r="L395" s="36">
        <f>(1+M393)*(1+M394)*(1+M395)-1</f>
        <v>-0.16688553859599997</v>
      </c>
      <c r="M395" s="4">
        <v>-8.3599999999999994E-2</v>
      </c>
      <c r="N395" s="4">
        <f t="shared" si="217"/>
        <v>1.0321182574454131</v>
      </c>
      <c r="O395" s="40">
        <f t="shared" si="213"/>
        <v>203.2118257445413</v>
      </c>
      <c r="P395" s="36">
        <f>(1+Q393)*(1+Q394)*(1+Q395)-1</f>
        <v>-7.4386412336168495E-2</v>
      </c>
      <c r="Q395" s="4">
        <v>-8.9265215183979105E-2</v>
      </c>
      <c r="R395" s="4">
        <f t="shared" si="214"/>
        <v>1.0050117819590088</v>
      </c>
      <c r="S395" s="41">
        <f t="shared" si="215"/>
        <v>200.50117819590074</v>
      </c>
    </row>
    <row r="396" spans="1:19" ht="13.5" x14ac:dyDescent="0.25">
      <c r="A396" s="2">
        <v>44773</v>
      </c>
      <c r="B396" s="49">
        <v>3269394.97</v>
      </c>
      <c r="C396" s="6">
        <v>9</v>
      </c>
      <c r="D396" s="37"/>
      <c r="E396" s="4">
        <v>4.1700000000000001E-2</v>
      </c>
      <c r="F396" s="4">
        <f t="shared" ref="F396:F404" si="218">(F395+1)*(E396+1)-1</f>
        <v>1.0090276309942103</v>
      </c>
      <c r="G396" s="40">
        <f t="shared" si="210"/>
        <v>200.90276309942078</v>
      </c>
      <c r="H396" s="37"/>
      <c r="I396" s="4">
        <v>4.2799999999999998E-2</v>
      </c>
      <c r="J396" s="4">
        <f t="shared" si="211"/>
        <v>1.1442735473129049</v>
      </c>
      <c r="K396" s="40">
        <f t="shared" si="212"/>
        <v>214.42735473129076</v>
      </c>
      <c r="L396" s="37"/>
      <c r="M396" s="4">
        <v>9.3799999999999994E-2</v>
      </c>
      <c r="N396" s="4">
        <f t="shared" ref="N396:N404" si="219">(N395+1)*(M396+1)-1</f>
        <v>1.2227309499937924</v>
      </c>
      <c r="O396" s="40">
        <f t="shared" si="213"/>
        <v>222.27309499937925</v>
      </c>
      <c r="P396" s="37"/>
      <c r="Q396" s="4">
        <v>3.9802302213448201E-2</v>
      </c>
      <c r="R396" s="4">
        <f t="shared" si="214"/>
        <v>1.0848158668460655</v>
      </c>
      <c r="S396" s="41">
        <f t="shared" si="215"/>
        <v>208.48158668460641</v>
      </c>
    </row>
    <row r="397" spans="1:19" ht="13.5" x14ac:dyDescent="0.25">
      <c r="A397" s="2">
        <v>44804</v>
      </c>
      <c r="B397" s="49">
        <v>3281465.79</v>
      </c>
      <c r="C397" s="6">
        <v>10</v>
      </c>
      <c r="D397" s="37"/>
      <c r="E397" s="4">
        <v>-2.7699999999999999E-2</v>
      </c>
      <c r="F397" s="4">
        <f t="shared" si="218"/>
        <v>0.95337756561567089</v>
      </c>
      <c r="G397" s="40">
        <f t="shared" si="210"/>
        <v>195.33775656156683</v>
      </c>
      <c r="H397" s="37"/>
      <c r="I397" s="4">
        <v>-2.76E-2</v>
      </c>
      <c r="J397" s="4">
        <f t="shared" si="211"/>
        <v>1.085091597407069</v>
      </c>
      <c r="K397" s="40">
        <f t="shared" si="212"/>
        <v>208.50915974070713</v>
      </c>
      <c r="L397" s="37"/>
      <c r="M397" s="4">
        <v>-3.73E-2</v>
      </c>
      <c r="N397" s="4">
        <f t="shared" si="219"/>
        <v>1.1398230855590241</v>
      </c>
      <c r="O397" s="40">
        <f t="shared" si="213"/>
        <v>213.98230855590242</v>
      </c>
      <c r="P397" s="37"/>
      <c r="Q397" s="4">
        <v>-1.6691024817996902E-2</v>
      </c>
      <c r="R397" s="4">
        <f t="shared" si="214"/>
        <v>1.050018153471584</v>
      </c>
      <c r="S397" s="41">
        <f t="shared" si="215"/>
        <v>205.00181534715827</v>
      </c>
    </row>
    <row r="398" spans="1:19" ht="13.5" x14ac:dyDescent="0.25">
      <c r="A398" s="2">
        <v>44834</v>
      </c>
      <c r="B398" s="49">
        <v>3251088.45</v>
      </c>
      <c r="C398" s="6">
        <v>10</v>
      </c>
      <c r="D398" s="36">
        <f>(1+E396)*(1+E397)*(1+E398)-1</f>
        <v>-6.5144148069999908E-2</v>
      </c>
      <c r="E398" s="4">
        <v>-7.6999999999999999E-2</v>
      </c>
      <c r="F398" s="4">
        <f t="shared" si="218"/>
        <v>0.8029674930632642</v>
      </c>
      <c r="G398" s="40">
        <f t="shared" si="210"/>
        <v>180.29674930632621</v>
      </c>
      <c r="H398" s="36">
        <f>(1+I396)*(1+I397)*(1+I398)-1</f>
        <v>-6.3046702720000014E-2</v>
      </c>
      <c r="I398" s="4">
        <v>-7.5999999999999998E-2</v>
      </c>
      <c r="J398" s="4">
        <f t="shared" si="211"/>
        <v>0.9266246360041317</v>
      </c>
      <c r="K398" s="40">
        <f t="shared" si="212"/>
        <v>192.66246360041339</v>
      </c>
      <c r="L398" s="36">
        <f>(1+M396)*(1+M397)*(1+M398)-1</f>
        <v>-4.4611956802000141E-2</v>
      </c>
      <c r="M398" s="4">
        <v>-9.2700000000000005E-2</v>
      </c>
      <c r="N398" s="4">
        <f t="shared" si="219"/>
        <v>0.94146148552770259</v>
      </c>
      <c r="O398" s="40">
        <f t="shared" si="213"/>
        <v>194.14614855277026</v>
      </c>
      <c r="P398" s="36">
        <f>(1+Q396)*(1+Q397)*(1+Q398)-1</f>
        <v>-7.7048167531831302E-2</v>
      </c>
      <c r="Q398" s="4">
        <v>-9.7310774957980808E-2</v>
      </c>
      <c r="R398" s="4">
        <f t="shared" si="214"/>
        <v>0.85052929827933532</v>
      </c>
      <c r="S398" s="41">
        <f t="shared" si="215"/>
        <v>185.05292982793341</v>
      </c>
    </row>
    <row r="399" spans="1:19" ht="13.5" x14ac:dyDescent="0.25">
      <c r="A399" s="2">
        <v>44865</v>
      </c>
      <c r="B399" s="49">
        <v>4013240.64</v>
      </c>
      <c r="C399" s="6">
        <v>10</v>
      </c>
      <c r="D399" s="37"/>
      <c r="E399" s="4">
        <v>0.10929999999999999</v>
      </c>
      <c r="F399" s="4">
        <f t="shared" si="218"/>
        <v>1.0000318400550787</v>
      </c>
      <c r="G399" s="40">
        <f t="shared" si="210"/>
        <v>200.00318400550765</v>
      </c>
      <c r="H399" s="37"/>
      <c r="I399" s="4">
        <v>0.1108</v>
      </c>
      <c r="J399" s="4">
        <f t="shared" si="211"/>
        <v>1.1400946456733894</v>
      </c>
      <c r="K399" s="40">
        <f t="shared" si="212"/>
        <v>214.00946456733919</v>
      </c>
      <c r="L399" s="37"/>
      <c r="M399" s="4">
        <v>8.2000000000000003E-2</v>
      </c>
      <c r="N399" s="4">
        <f t="shared" si="219"/>
        <v>1.1006613273409744</v>
      </c>
      <c r="O399" s="40">
        <f t="shared" si="213"/>
        <v>210.06613273409744</v>
      </c>
      <c r="P399" s="37"/>
      <c r="Q399" s="4">
        <v>0.10333843703595401</v>
      </c>
      <c r="R399" s="4">
        <f t="shared" si="214"/>
        <v>1.0417601036527624</v>
      </c>
      <c r="S399" s="41">
        <f t="shared" si="215"/>
        <v>204.17601036527611</v>
      </c>
    </row>
    <row r="400" spans="1:19" ht="13.5" x14ac:dyDescent="0.25">
      <c r="A400" s="2">
        <v>44895</v>
      </c>
      <c r="B400" s="49">
        <v>7238103.9500000002</v>
      </c>
      <c r="C400" s="6">
        <v>15</v>
      </c>
      <c r="D400" s="37"/>
      <c r="E400" s="4">
        <v>4.4400000000000002E-2</v>
      </c>
      <c r="F400" s="4">
        <f t="shared" si="218"/>
        <v>1.0888332537535241</v>
      </c>
      <c r="G400" s="40">
        <f t="shared" si="210"/>
        <v>208.8833253753522</v>
      </c>
      <c r="H400" s="37"/>
      <c r="I400" s="4">
        <v>4.4499999999999998E-2</v>
      </c>
      <c r="J400" s="4">
        <f t="shared" si="211"/>
        <v>1.2353288574058552</v>
      </c>
      <c r="K400" s="40">
        <f t="shared" si="212"/>
        <v>223.53288574058578</v>
      </c>
      <c r="L400" s="37"/>
      <c r="M400" s="4">
        <v>5.2200000000000003E-2</v>
      </c>
      <c r="N400" s="4">
        <f t="shared" si="219"/>
        <v>1.2103158486281735</v>
      </c>
      <c r="O400" s="40">
        <f t="shared" si="213"/>
        <v>221.03158486281734</v>
      </c>
      <c r="P400" s="37"/>
      <c r="Q400" s="4">
        <v>6.3517245226705391E-2</v>
      </c>
      <c r="R400" s="4">
        <f t="shared" si="214"/>
        <v>1.1714470808505784</v>
      </c>
      <c r="S400" s="41">
        <f t="shared" si="215"/>
        <v>217.14470808505772</v>
      </c>
    </row>
    <row r="401" spans="1:19" ht="13.5" x14ac:dyDescent="0.25">
      <c r="A401" s="2">
        <v>44926</v>
      </c>
      <c r="B401" s="49">
        <v>8746448.5199999996</v>
      </c>
      <c r="C401" s="6">
        <v>17</v>
      </c>
      <c r="D401" s="36">
        <f>(1+E399)*(1+E400)*(1+E401)-1</f>
        <v>0.1255341617800001</v>
      </c>
      <c r="E401" s="4">
        <v>-2.8500000000000001E-2</v>
      </c>
      <c r="F401" s="4">
        <f t="shared" si="218"/>
        <v>1.0293015060215489</v>
      </c>
      <c r="G401" s="40">
        <f t="shared" si="210"/>
        <v>202.93015060215467</v>
      </c>
      <c r="H401" s="36">
        <f>(1+I399)*(1+I400)*(1+I401)-1</f>
        <v>0.12762812014000002</v>
      </c>
      <c r="I401" s="4">
        <v>-2.81E-2</v>
      </c>
      <c r="J401" s="4">
        <f t="shared" si="211"/>
        <v>1.1725161165127505</v>
      </c>
      <c r="K401" s="40">
        <f t="shared" si="212"/>
        <v>217.25161165127531</v>
      </c>
      <c r="L401" s="36">
        <f>(1+M399)*(1+M400)*(1+M401)-1</f>
        <v>7.1765448560000111E-2</v>
      </c>
      <c r="M401" s="4">
        <v>-5.8599999999999999E-2</v>
      </c>
      <c r="N401" s="4">
        <f t="shared" si="219"/>
        <v>1.0807913398985627</v>
      </c>
      <c r="O401" s="40">
        <f t="shared" si="213"/>
        <v>208.07913398985625</v>
      </c>
      <c r="P401" s="36">
        <f>(1+Q399)*(1+Q400)*(1+Q401)-1</f>
        <v>0.13766147832978115</v>
      </c>
      <c r="Q401" s="4">
        <v>-3.0473311673622397E-2</v>
      </c>
      <c r="R401" s="4">
        <f t="shared" si="214"/>
        <v>1.105275897173041</v>
      </c>
      <c r="S401" s="41">
        <f t="shared" si="215"/>
        <v>210.52758971730398</v>
      </c>
    </row>
    <row r="402" spans="1:19" ht="13.5" x14ac:dyDescent="0.25">
      <c r="A402" s="2">
        <v>44957</v>
      </c>
      <c r="B402" s="49">
        <v>9291925.9399999995</v>
      </c>
      <c r="C402" s="6">
        <v>18</v>
      </c>
      <c r="D402" s="37"/>
      <c r="E402" s="4">
        <v>2.23E-2</v>
      </c>
      <c r="F402" s="4">
        <f t="shared" si="218"/>
        <v>1.0745549296058292</v>
      </c>
      <c r="G402" s="40">
        <f t="shared" si="210"/>
        <v>207.45549296058272</v>
      </c>
      <c r="H402" s="37"/>
      <c r="I402" s="4">
        <v>2.4400000000000002E-2</v>
      </c>
      <c r="J402" s="4">
        <f t="shared" si="211"/>
        <v>1.2255255097556614</v>
      </c>
      <c r="K402" s="40">
        <f t="shared" si="212"/>
        <v>222.55255097556642</v>
      </c>
      <c r="L402" s="37"/>
      <c r="M402" s="4">
        <v>6.8900000000000003E-2</v>
      </c>
      <c r="N402" s="4">
        <f t="shared" si="219"/>
        <v>1.2241578632175734</v>
      </c>
      <c r="O402" s="40">
        <f t="shared" si="213"/>
        <v>222.41578632175734</v>
      </c>
      <c r="P402" s="37"/>
      <c r="Q402" s="4">
        <v>4.1423479842827501E-2</v>
      </c>
      <c r="R402" s="4">
        <f t="shared" si="214"/>
        <v>1.1924837508631789</v>
      </c>
      <c r="S402" s="41">
        <f t="shared" si="215"/>
        <v>219.24837508631776</v>
      </c>
    </row>
    <row r="403" spans="1:19" ht="13.5" x14ac:dyDescent="0.25">
      <c r="A403" s="2">
        <v>44985</v>
      </c>
      <c r="B403" s="49">
        <v>9159511.7899999991</v>
      </c>
      <c r="C403" s="6">
        <v>18</v>
      </c>
      <c r="D403" s="37"/>
      <c r="E403" s="4">
        <v>-2.24E-2</v>
      </c>
      <c r="F403" s="4">
        <f t="shared" si="218"/>
        <v>1.0280848991826588</v>
      </c>
      <c r="G403" s="40">
        <f t="shared" si="210"/>
        <v>202.80848991826568</v>
      </c>
      <c r="H403" s="37"/>
      <c r="I403" s="4">
        <v>-2.23E-2</v>
      </c>
      <c r="J403" s="4">
        <f t="shared" si="211"/>
        <v>1.1758962908881103</v>
      </c>
      <c r="K403" s="40">
        <f t="shared" si="212"/>
        <v>217.58962908881128</v>
      </c>
      <c r="L403" s="37"/>
      <c r="M403" s="4">
        <v>-2.3400000000000001E-2</v>
      </c>
      <c r="N403" s="4">
        <f t="shared" si="219"/>
        <v>1.1721125692182821</v>
      </c>
      <c r="O403" s="40">
        <f t="shared" si="213"/>
        <v>217.21125692182821</v>
      </c>
      <c r="P403" s="37"/>
      <c r="Q403" s="4">
        <v>-3.5918383250642998E-2</v>
      </c>
      <c r="R403" s="4">
        <f t="shared" si="214"/>
        <v>1.1137332792288679</v>
      </c>
      <c r="S403" s="41">
        <f t="shared" si="215"/>
        <v>211.37332792288669</v>
      </c>
    </row>
    <row r="404" spans="1:19" ht="13.5" x14ac:dyDescent="0.25">
      <c r="A404" s="2">
        <v>45016</v>
      </c>
      <c r="B404" s="49">
        <v>9092147.6699999999</v>
      </c>
      <c r="C404" s="6">
        <v>18</v>
      </c>
      <c r="D404" s="36">
        <f>(1+E402)*(1+E403)*(1+E404)-1</f>
        <v>-7.9950835519999597E-3</v>
      </c>
      <c r="E404" s="4">
        <v>-7.4000000000000003E-3</v>
      </c>
      <c r="F404" s="4">
        <f t="shared" si="218"/>
        <v>1.0130770709287074</v>
      </c>
      <c r="G404" s="40">
        <f t="shared" si="210"/>
        <v>201.30770709287052</v>
      </c>
      <c r="H404" s="36">
        <f>(1+I402)*(1+I403)*(1+I404)-1</f>
        <v>-5.3548555720001056E-3</v>
      </c>
      <c r="I404" s="4">
        <v>-6.8999999999999999E-3</v>
      </c>
      <c r="J404" s="4">
        <f t="shared" si="211"/>
        <v>1.1608826064809823</v>
      </c>
      <c r="K404" s="40">
        <f t="shared" si="212"/>
        <v>216.08826064809847</v>
      </c>
      <c r="L404" s="36">
        <f>(1+M402)*(1+M403)*(1+M404)-1</f>
        <v>7.1863931431999983E-2</v>
      </c>
      <c r="M404" s="4">
        <v>2.6800000000000001E-2</v>
      </c>
      <c r="N404" s="4">
        <f t="shared" si="219"/>
        <v>1.230325186073332</v>
      </c>
      <c r="O404" s="40">
        <f t="shared" si="213"/>
        <v>223.0325186073332</v>
      </c>
      <c r="P404" s="36">
        <f>(1+Q402)*(1+Q403)*(1+Q404)-1</f>
        <v>-1.8216186605168438E-2</v>
      </c>
      <c r="Q404" s="4">
        <v>-2.2144459338394297E-2</v>
      </c>
      <c r="R404" s="4">
        <f t="shared" si="214"/>
        <v>1.0669257985747733</v>
      </c>
      <c r="S404" s="41">
        <f t="shared" si="215"/>
        <v>206.69257985747726</v>
      </c>
    </row>
    <row r="405" spans="1:19" ht="13.5" x14ac:dyDescent="0.25">
      <c r="A405" s="2">
        <v>45046</v>
      </c>
      <c r="B405" s="49">
        <v>8342656.3700000001</v>
      </c>
      <c r="C405" s="6">
        <v>17</v>
      </c>
      <c r="D405" s="37"/>
      <c r="E405" s="4">
        <v>0.01</v>
      </c>
      <c r="F405" s="4">
        <f t="shared" ref="F405:F410" si="220">(F404+1)*(E405+1)-1</f>
        <v>1.0332078416379944</v>
      </c>
      <c r="G405" s="40">
        <f t="shared" si="210"/>
        <v>203.32078416379923</v>
      </c>
      <c r="H405" s="37"/>
      <c r="I405" s="4">
        <v>1.1599999999999999E-2</v>
      </c>
      <c r="J405" s="4">
        <f t="shared" si="211"/>
        <v>1.1859488447161617</v>
      </c>
      <c r="K405" s="40">
        <f t="shared" si="212"/>
        <v>218.59488447161641</v>
      </c>
      <c r="L405" s="37"/>
      <c r="M405" s="4">
        <v>1.0699999999999999E-2</v>
      </c>
      <c r="N405" s="4">
        <f t="shared" ref="N405:N410" si="221">(N404+1)*(M405+1)-1</f>
        <v>1.2541896655643163</v>
      </c>
      <c r="O405" s="40">
        <f t="shared" si="213"/>
        <v>225.41896655643166</v>
      </c>
      <c r="P405" s="37"/>
      <c r="Q405" s="4">
        <v>3.0206069456737402E-3</v>
      </c>
      <c r="R405" s="4">
        <f t="shared" si="214"/>
        <v>1.0731691689981404</v>
      </c>
      <c r="S405" s="41">
        <f t="shared" si="215"/>
        <v>207.31691689981398</v>
      </c>
    </row>
    <row r="406" spans="1:19" ht="13.5" x14ac:dyDescent="0.25">
      <c r="A406" s="2">
        <v>45077</v>
      </c>
      <c r="B406" s="49">
        <v>7965463.7000000002</v>
      </c>
      <c r="C406" s="6">
        <v>17</v>
      </c>
      <c r="D406" s="37"/>
      <c r="E406" s="4">
        <v>-4.53E-2</v>
      </c>
      <c r="F406" s="4">
        <f t="shared" si="220"/>
        <v>0.94110352641179329</v>
      </c>
      <c r="G406" s="40">
        <f t="shared" si="210"/>
        <v>194.11035264117913</v>
      </c>
      <c r="H406" s="37"/>
      <c r="I406" s="4">
        <v>-4.5199999999999997E-2</v>
      </c>
      <c r="J406" s="4">
        <f t="shared" si="211"/>
        <v>1.087143956934991</v>
      </c>
      <c r="K406" s="40">
        <f t="shared" si="212"/>
        <v>208.71439569349934</v>
      </c>
      <c r="L406" s="37"/>
      <c r="M406" s="4">
        <v>3.8999999999999998E-3</v>
      </c>
      <c r="N406" s="4">
        <f t="shared" si="221"/>
        <v>1.2629810052600172</v>
      </c>
      <c r="O406" s="40">
        <f t="shared" si="213"/>
        <v>226.29810052600175</v>
      </c>
      <c r="P406" s="37"/>
      <c r="Q406" s="4">
        <v>-7.7066507334761697E-2</v>
      </c>
      <c r="R406" s="4">
        <f t="shared" si="214"/>
        <v>0.91339726202934335</v>
      </c>
      <c r="S406" s="41">
        <f t="shared" si="215"/>
        <v>191.33972620293429</v>
      </c>
    </row>
    <row r="407" spans="1:19" ht="13.5" x14ac:dyDescent="0.25">
      <c r="A407" s="2">
        <v>45107</v>
      </c>
      <c r="B407" s="49">
        <v>8416616.5</v>
      </c>
      <c r="C407" s="6">
        <v>17</v>
      </c>
      <c r="D407" s="36">
        <f>(1+E405)*(1+E406)*(1+E407)-1</f>
        <v>1.8437681400000017E-2</v>
      </c>
      <c r="E407" s="4">
        <v>5.62E-2</v>
      </c>
      <c r="F407" s="4">
        <f t="shared" si="220"/>
        <v>1.0501935445961363</v>
      </c>
      <c r="G407" s="40">
        <f t="shared" si="210"/>
        <v>205.0193544596134</v>
      </c>
      <c r="H407" s="36">
        <f>(1+I405)*(1+I406)*(1+I407)-1</f>
        <v>2.0737418623999915E-2</v>
      </c>
      <c r="I407" s="4">
        <v>5.6800000000000003E-2</v>
      </c>
      <c r="J407" s="4">
        <f t="shared" si="211"/>
        <v>1.2056937336888982</v>
      </c>
      <c r="K407" s="40">
        <f t="shared" si="212"/>
        <v>220.5693733688901</v>
      </c>
      <c r="L407" s="36">
        <f>(1+M405)*(1+M406)*(1+M407)-1</f>
        <v>8.3941760159000012E-2</v>
      </c>
      <c r="M407" s="4">
        <v>6.83E-2</v>
      </c>
      <c r="N407" s="4">
        <f t="shared" si="221"/>
        <v>1.4175426079192763</v>
      </c>
      <c r="O407" s="40">
        <f t="shared" si="213"/>
        <v>241.75426079192766</v>
      </c>
      <c r="P407" s="36">
        <f>(1+Q405)*(1+Q406)*(1+Q407)-1</f>
        <v>-2.5401341190814941E-2</v>
      </c>
      <c r="Q407" s="4">
        <v>5.2799202300826395E-2</v>
      </c>
      <c r="R407" s="4">
        <f t="shared" si="214"/>
        <v>1.0144231111490778</v>
      </c>
      <c r="S407" s="41">
        <f t="shared" si="215"/>
        <v>201.44231111490774</v>
      </c>
    </row>
    <row r="408" spans="1:19" ht="13.5" x14ac:dyDescent="0.25">
      <c r="A408" s="2">
        <v>45138</v>
      </c>
      <c r="B408" s="49">
        <v>9837262.8800000008</v>
      </c>
      <c r="C408" s="6">
        <v>18</v>
      </c>
      <c r="D408" s="37"/>
      <c r="E408" s="4">
        <v>2.1399999999999999E-2</v>
      </c>
      <c r="F408" s="4">
        <f t="shared" si="220"/>
        <v>1.0940676864504937</v>
      </c>
      <c r="G408" s="40">
        <f t="shared" si="210"/>
        <v>209.40676864504914</v>
      </c>
      <c r="H408" s="37"/>
      <c r="I408" s="4">
        <v>2.3099999999999999E-2</v>
      </c>
      <c r="J408" s="4">
        <f t="shared" si="211"/>
        <v>1.2566452589371115</v>
      </c>
      <c r="K408" s="40">
        <f t="shared" si="212"/>
        <v>225.66452589371144</v>
      </c>
      <c r="L408" s="37"/>
      <c r="M408" s="4">
        <v>3.5900000000000001E-2</v>
      </c>
      <c r="N408" s="4">
        <f t="shared" si="221"/>
        <v>1.5043323875435783</v>
      </c>
      <c r="O408" s="40">
        <f t="shared" si="213"/>
        <v>250.43323875435789</v>
      </c>
      <c r="P408" s="37"/>
      <c r="Q408" s="4">
        <v>4.1683747755898407E-2</v>
      </c>
      <c r="R408" s="4">
        <f t="shared" si="214"/>
        <v>1.0983918159878683</v>
      </c>
      <c r="S408" s="41">
        <f t="shared" si="215"/>
        <v>209.83918159878678</v>
      </c>
    </row>
    <row r="409" spans="1:19" ht="13.5" x14ac:dyDescent="0.25">
      <c r="A409" s="2">
        <v>45169</v>
      </c>
      <c r="B409" s="49">
        <v>9623446.3200000003</v>
      </c>
      <c r="C409" s="6">
        <v>18</v>
      </c>
      <c r="D409" s="37"/>
      <c r="E409" s="4">
        <v>-2.1700000000000001E-2</v>
      </c>
      <c r="F409" s="4">
        <f t="shared" si="220"/>
        <v>1.0486264176545177</v>
      </c>
      <c r="G409" s="40">
        <f t="shared" si="210"/>
        <v>204.86264176545157</v>
      </c>
      <c r="H409" s="37"/>
      <c r="I409" s="4">
        <v>-2.1600000000000001E-2</v>
      </c>
      <c r="J409" s="4">
        <f t="shared" si="211"/>
        <v>1.2079017213440699</v>
      </c>
      <c r="K409" s="40">
        <f t="shared" si="212"/>
        <v>220.7901721344073</v>
      </c>
      <c r="L409" s="37"/>
      <c r="M409" s="4">
        <v>-1.9300000000000001E-2</v>
      </c>
      <c r="N409" s="4">
        <f t="shared" si="221"/>
        <v>1.4559987724639871</v>
      </c>
      <c r="O409" s="40">
        <f t="shared" si="213"/>
        <v>245.59987724639879</v>
      </c>
      <c r="P409" s="37"/>
      <c r="Q409" s="4">
        <v>-3.8248195983837802E-2</v>
      </c>
      <c r="R409" s="4">
        <f t="shared" si="214"/>
        <v>1.0181321145590831</v>
      </c>
      <c r="S409" s="41">
        <f t="shared" si="215"/>
        <v>201.81321145590826</v>
      </c>
    </row>
    <row r="410" spans="1:19" ht="13.5" x14ac:dyDescent="0.25">
      <c r="A410" s="2">
        <v>45199</v>
      </c>
      <c r="B410" s="49">
        <v>9253500.2300000004</v>
      </c>
      <c r="C410" s="6">
        <v>18</v>
      </c>
      <c r="D410" s="36">
        <f>(1+E408)*(1+E409)*(1+E410)-1</f>
        <v>-3.9234951369999993E-2</v>
      </c>
      <c r="E410" s="4">
        <v>-3.85E-2</v>
      </c>
      <c r="F410" s="4">
        <f t="shared" si="220"/>
        <v>0.96975430057481882</v>
      </c>
      <c r="G410" s="40">
        <f t="shared" si="210"/>
        <v>196.9754300574817</v>
      </c>
      <c r="H410" s="36">
        <f>(1+I408)*(1+I409)*(1+I410)-1</f>
        <v>-3.7036999520000058E-2</v>
      </c>
      <c r="I410" s="4">
        <v>-3.7999999999999999E-2</v>
      </c>
      <c r="J410" s="4">
        <f t="shared" si="211"/>
        <v>1.1240014559329952</v>
      </c>
      <c r="K410" s="40">
        <f t="shared" si="212"/>
        <v>212.40014559329981</v>
      </c>
      <c r="L410" s="36">
        <f>(1+M408)*(1+M409)*(1+M410)-1</f>
        <v>-3.2450049388000002E-2</v>
      </c>
      <c r="M410" s="4">
        <v>-4.7600000000000003E-2</v>
      </c>
      <c r="N410" s="4">
        <f t="shared" si="221"/>
        <v>1.3390932308947012</v>
      </c>
      <c r="O410" s="40">
        <f t="shared" si="213"/>
        <v>233.90932308947021</v>
      </c>
      <c r="P410" s="36">
        <f>(1+Q408)*(1+Q409)*(1+Q410)-1</f>
        <v>-3.6859812555660509E-2</v>
      </c>
      <c r="Q410" s="4">
        <v>-3.86299098717744E-2</v>
      </c>
      <c r="R410" s="4">
        <f t="shared" si="214"/>
        <v>0.94017185286433236</v>
      </c>
      <c r="S410" s="41">
        <f t="shared" si="215"/>
        <v>194.01718528643318</v>
      </c>
    </row>
    <row r="411" spans="1:19" ht="13.5" x14ac:dyDescent="0.25">
      <c r="A411" s="2">
        <v>45230</v>
      </c>
      <c r="B411" s="49">
        <v>8810526.6099999994</v>
      </c>
      <c r="C411" s="6">
        <v>17</v>
      </c>
      <c r="D411" s="37"/>
      <c r="E411" s="4">
        <v>-2.3699999999999999E-2</v>
      </c>
      <c r="F411" s="4">
        <f t="shared" ref="F411:F416" si="222">(F410+1)*(E411+1)-1</f>
        <v>0.92307112365119548</v>
      </c>
      <c r="G411" s="40">
        <f t="shared" si="210"/>
        <v>192.30711236511937</v>
      </c>
      <c r="H411" s="37"/>
      <c r="I411" s="4">
        <v>-2.1999999999999999E-2</v>
      </c>
      <c r="J411" s="4">
        <f t="shared" si="211"/>
        <v>1.0772734239024691</v>
      </c>
      <c r="K411" s="40">
        <f t="shared" si="212"/>
        <v>207.7273423902472</v>
      </c>
      <c r="L411" s="37"/>
      <c r="M411" s="4">
        <v>-2.6499999999999999E-2</v>
      </c>
      <c r="N411" s="4">
        <f t="shared" ref="N411:N416" si="223">(N410+1)*(M411+1)-1</f>
        <v>1.2771072602759919</v>
      </c>
      <c r="O411" s="40">
        <f t="shared" si="213"/>
        <v>227.71072602759926</v>
      </c>
      <c r="P411" s="37"/>
      <c r="Q411" s="4">
        <v>-2.6903065305613302E-2</v>
      </c>
      <c r="R411" s="4">
        <f t="shared" si="214"/>
        <v>0.88797528280261062</v>
      </c>
      <c r="S411" s="41">
        <f t="shared" si="215"/>
        <v>188.79752828026099</v>
      </c>
    </row>
    <row r="412" spans="1:19" ht="13.5" x14ac:dyDescent="0.25">
      <c r="A412" s="2">
        <v>45260</v>
      </c>
      <c r="B412" s="49">
        <v>9262602.6500000004</v>
      </c>
      <c r="C412" s="6">
        <v>17</v>
      </c>
      <c r="D412" s="37"/>
      <c r="E412" s="4">
        <v>5.45E-2</v>
      </c>
      <c r="F412" s="4">
        <f t="shared" si="222"/>
        <v>1.0278784998901855</v>
      </c>
      <c r="G412" s="40">
        <f t="shared" si="210"/>
        <v>202.78784998901838</v>
      </c>
      <c r="H412" s="37"/>
      <c r="I412" s="4">
        <v>5.4600000000000003E-2</v>
      </c>
      <c r="J412" s="4">
        <f t="shared" si="211"/>
        <v>1.1906925528475436</v>
      </c>
      <c r="K412" s="40">
        <f t="shared" si="212"/>
        <v>219.06925528475469</v>
      </c>
      <c r="L412" s="37"/>
      <c r="M412" s="4">
        <v>9.3200000000000005E-2</v>
      </c>
      <c r="N412" s="4">
        <f t="shared" si="223"/>
        <v>1.4893336569337143</v>
      </c>
      <c r="O412" s="40">
        <f t="shared" si="213"/>
        <v>248.93336569337151</v>
      </c>
      <c r="P412" s="37"/>
      <c r="Q412" s="4">
        <v>7.0116364129983802E-2</v>
      </c>
      <c r="R412" s="4">
        <f t="shared" si="214"/>
        <v>1.0203532452000075</v>
      </c>
      <c r="S412" s="41">
        <f t="shared" si="215"/>
        <v>202.03532452000067</v>
      </c>
    </row>
    <row r="413" spans="1:19" ht="13.5" x14ac:dyDescent="0.25">
      <c r="A413" s="2">
        <v>45291</v>
      </c>
      <c r="B413" s="49">
        <v>9574189.6999999993</v>
      </c>
      <c r="C413" s="6">
        <v>17</v>
      </c>
      <c r="D413" s="36">
        <f>(1+E411)*(1+E412)*(1+E413)-1</f>
        <v>7.3056553205000041E-2</v>
      </c>
      <c r="E413" s="4">
        <v>4.2299999999999997E-2</v>
      </c>
      <c r="F413" s="4">
        <f t="shared" si="222"/>
        <v>1.1136577604355402</v>
      </c>
      <c r="G413" s="40">
        <f t="shared" si="210"/>
        <v>211.36577604355386</v>
      </c>
      <c r="H413" s="36">
        <f>(1+I411)*(1+I412)*(1+I413)-1</f>
        <v>7.5233249000000058E-2</v>
      </c>
      <c r="I413" s="4">
        <v>4.2500000000000003E-2</v>
      </c>
      <c r="J413" s="4">
        <f t="shared" si="211"/>
        <v>1.2837969863435643</v>
      </c>
      <c r="K413" s="40">
        <f t="shared" si="212"/>
        <v>228.37969863435677</v>
      </c>
      <c r="L413" s="36">
        <f>(1+M411)*(1+M412)*(1+M413)-1</f>
        <v>0.12063440059999975</v>
      </c>
      <c r="M413" s="4">
        <v>5.2999999999999999E-2</v>
      </c>
      <c r="N413" s="4">
        <f t="shared" si="223"/>
        <v>1.6212683407512012</v>
      </c>
      <c r="O413" s="40">
        <f t="shared" si="213"/>
        <v>262.1268340751202</v>
      </c>
      <c r="P413" s="36">
        <f>(1+Q411)*(1+Q412)*(1+Q413)-1</f>
        <v>0.10173776482934227</v>
      </c>
      <c r="Q413" s="4">
        <v>5.8013298237825001E-2</v>
      </c>
      <c r="R413" s="4">
        <f t="shared" si="214"/>
        <v>1.1375606005595529</v>
      </c>
      <c r="S413" s="41">
        <f t="shared" si="215"/>
        <v>213.75606005595523</v>
      </c>
    </row>
    <row r="414" spans="1:19" ht="13.5" x14ac:dyDescent="0.25">
      <c r="A414" s="2">
        <v>45322</v>
      </c>
      <c r="B414" s="49">
        <v>9613546.8699999992</v>
      </c>
      <c r="C414" s="6">
        <v>17</v>
      </c>
      <c r="D414" s="37"/>
      <c r="E414" s="4">
        <v>4.1000000000000003E-3</v>
      </c>
      <c r="F414" s="4">
        <f t="shared" si="222"/>
        <v>1.122323757253326</v>
      </c>
      <c r="G414" s="40">
        <f t="shared" si="210"/>
        <v>212.23237572533245</v>
      </c>
      <c r="H414" s="37"/>
      <c r="I414" s="4">
        <v>6.4000000000000003E-3</v>
      </c>
      <c r="J414" s="4">
        <f t="shared" si="211"/>
        <v>1.2984132870561629</v>
      </c>
      <c r="K414" s="40">
        <f t="shared" si="212"/>
        <v>229.84132870561663</v>
      </c>
      <c r="L414" s="37"/>
      <c r="M414" s="4">
        <v>1.11E-2</v>
      </c>
      <c r="N414" s="4">
        <f t="shared" si="223"/>
        <v>1.6503644193335396</v>
      </c>
      <c r="O414" s="40">
        <f t="shared" si="213"/>
        <v>265.03644193335407</v>
      </c>
      <c r="P414" s="37"/>
      <c r="Q414" s="4">
        <v>-1.7524753464485999E-2</v>
      </c>
      <c r="R414" s="4">
        <f t="shared" si="214"/>
        <v>1.1001003780193481</v>
      </c>
      <c r="S414" s="41">
        <f t="shared" si="215"/>
        <v>210.01003780193474</v>
      </c>
    </row>
    <row r="415" spans="1:19" ht="13.5" x14ac:dyDescent="0.25">
      <c r="A415" s="2">
        <v>45351</v>
      </c>
      <c r="B415" s="49">
        <v>9801041.6400000006</v>
      </c>
      <c r="C415" s="6">
        <v>17</v>
      </c>
      <c r="D415" s="37"/>
      <c r="E415" s="4">
        <v>1.95E-2</v>
      </c>
      <c r="F415" s="4">
        <f t="shared" si="222"/>
        <v>1.1637090705197659</v>
      </c>
      <c r="G415" s="40">
        <f t="shared" si="210"/>
        <v>216.37090705197645</v>
      </c>
      <c r="H415" s="37"/>
      <c r="I415" s="4">
        <v>1.95E-2</v>
      </c>
      <c r="J415" s="4">
        <f t="shared" si="211"/>
        <v>1.3432323461537581</v>
      </c>
      <c r="K415" s="40">
        <f t="shared" si="212"/>
        <v>234.32323461537618</v>
      </c>
      <c r="L415" s="37"/>
      <c r="M415" s="4">
        <v>5.4100000000000002E-2</v>
      </c>
      <c r="N415" s="4">
        <f t="shared" si="223"/>
        <v>1.793749134419484</v>
      </c>
      <c r="O415" s="40">
        <f t="shared" si="213"/>
        <v>279.37491344194854</v>
      </c>
      <c r="P415" s="37"/>
      <c r="Q415" s="4">
        <v>1.2844111335970701E-2</v>
      </c>
      <c r="R415" s="4">
        <f t="shared" si="214"/>
        <v>1.1270743010913429</v>
      </c>
      <c r="S415" s="41">
        <f t="shared" si="215"/>
        <v>212.70743010913421</v>
      </c>
    </row>
    <row r="416" spans="1:19" ht="13.5" x14ac:dyDescent="0.25">
      <c r="A416" s="2">
        <v>45382</v>
      </c>
      <c r="B416" s="49">
        <v>11717452.01</v>
      </c>
      <c r="C416" s="6">
        <v>18</v>
      </c>
      <c r="D416" s="36">
        <f>(1+E414)*(1+E415)*(1+E416)-1</f>
        <v>6.4012940030000021E-2</v>
      </c>
      <c r="E416" s="4">
        <v>3.9399999999999998E-2</v>
      </c>
      <c r="F416" s="4">
        <f t="shared" si="222"/>
        <v>1.248959207898245</v>
      </c>
      <c r="G416" s="40">
        <f t="shared" si="210"/>
        <v>224.89592078982434</v>
      </c>
      <c r="H416" s="36">
        <f>(1+I414)*(1+I415)*(1+I416)-1</f>
        <v>6.645017712000012E-2</v>
      </c>
      <c r="I416" s="4">
        <v>3.9399999999999998E-2</v>
      </c>
      <c r="J416" s="4">
        <f t="shared" ref="J416:J434" si="224">(J415+1)*(I416+1)-1</f>
        <v>1.4355557005922166</v>
      </c>
      <c r="K416" s="40">
        <f t="shared" si="212"/>
        <v>243.55557005922202</v>
      </c>
      <c r="L416" s="36">
        <f>(1+M414)*(1+M415)*(1+M416)-1</f>
        <v>0.10022586647300002</v>
      </c>
      <c r="M416" s="4">
        <v>3.2300000000000002E-2</v>
      </c>
      <c r="N416" s="4">
        <f t="shared" si="223"/>
        <v>1.8839872314612331</v>
      </c>
      <c r="O416" s="40">
        <f t="shared" si="213"/>
        <v>288.39872314612347</v>
      </c>
      <c r="P416" s="36">
        <f>(1+Q414)*(1+Q415)*(1+Q416)-1</f>
        <v>6.0993602232724209E-2</v>
      </c>
      <c r="Q416" s="4">
        <v>6.6224212485106501E-2</v>
      </c>
      <c r="R416" s="4">
        <f t="shared" si="214"/>
        <v>1.2679381215784251</v>
      </c>
      <c r="S416" s="41">
        <f t="shared" si="215"/>
        <v>226.79381215784244</v>
      </c>
    </row>
    <row r="417" spans="1:19" ht="13.5" x14ac:dyDescent="0.25">
      <c r="A417" s="2">
        <v>45412</v>
      </c>
      <c r="B417" s="49">
        <v>11218337.99</v>
      </c>
      <c r="C417" s="6">
        <v>18</v>
      </c>
      <c r="D417" s="37"/>
      <c r="E417" s="4">
        <v>-3.8100000000000002E-2</v>
      </c>
      <c r="F417" s="4">
        <f t="shared" ref="F417:F422" si="225">(F416+1)*(E417+1)-1</f>
        <v>1.1632738620773218</v>
      </c>
      <c r="G417" s="40">
        <f t="shared" si="210"/>
        <v>216.32738620773202</v>
      </c>
      <c r="H417" s="37"/>
      <c r="I417" s="4">
        <v>-3.5900000000000001E-2</v>
      </c>
      <c r="J417" s="4">
        <f t="shared" si="224"/>
        <v>1.3481192509409561</v>
      </c>
      <c r="K417" s="40">
        <f t="shared" si="212"/>
        <v>234.81192509409593</v>
      </c>
      <c r="L417" s="37"/>
      <c r="M417" s="4">
        <v>-4.3999999999999997E-2</v>
      </c>
      <c r="N417" s="4">
        <f t="shared" ref="N417:N422" si="226">(N416+1)*(M417+1)-1</f>
        <v>1.7570917932769388</v>
      </c>
      <c r="O417" s="40">
        <f t="shared" si="213"/>
        <v>275.70917932769402</v>
      </c>
      <c r="P417" s="37"/>
      <c r="Q417" s="4">
        <v>-3.0925213842894199E-2</v>
      </c>
      <c r="R417" s="4">
        <f t="shared" si="214"/>
        <v>1.1978016501861606</v>
      </c>
      <c r="S417" s="41">
        <f t="shared" si="215"/>
        <v>219.780165018616</v>
      </c>
    </row>
    <row r="418" spans="1:19" ht="13.5" x14ac:dyDescent="0.25">
      <c r="A418" s="2">
        <v>45443</v>
      </c>
      <c r="B418" s="49">
        <v>11381962.57</v>
      </c>
      <c r="C418" s="6">
        <v>18</v>
      </c>
      <c r="D418" s="37"/>
      <c r="E418" s="4">
        <v>1.46E-2</v>
      </c>
      <c r="F418" s="4">
        <f t="shared" si="225"/>
        <v>1.1948576604636507</v>
      </c>
      <c r="G418" s="40">
        <f t="shared" si="210"/>
        <v>219.48576604636489</v>
      </c>
      <c r="H418" s="37"/>
      <c r="I418" s="4">
        <v>1.46E-2</v>
      </c>
      <c r="J418" s="4">
        <f t="shared" si="224"/>
        <v>1.382401792004694</v>
      </c>
      <c r="K418" s="40">
        <f t="shared" si="212"/>
        <v>238.24017920046973</v>
      </c>
      <c r="L418" s="37"/>
      <c r="M418" s="4">
        <v>4.7199999999999999E-2</v>
      </c>
      <c r="N418" s="4">
        <f t="shared" si="226"/>
        <v>1.8872265259196102</v>
      </c>
      <c r="O418" s="40">
        <f t="shared" si="213"/>
        <v>288.72265259196115</v>
      </c>
      <c r="P418" s="37"/>
      <c r="Q418" s="4">
        <v>4.2640166103594404E-2</v>
      </c>
      <c r="R418" s="4">
        <f t="shared" si="214"/>
        <v>1.2915162776128524</v>
      </c>
      <c r="S418" s="41">
        <f t="shared" si="215"/>
        <v>229.1516277612852</v>
      </c>
    </row>
    <row r="419" spans="1:19" ht="13.5" x14ac:dyDescent="0.25">
      <c r="A419" s="2">
        <v>45473</v>
      </c>
      <c r="B419" s="49">
        <v>11301675.41</v>
      </c>
      <c r="C419" s="6">
        <v>18</v>
      </c>
      <c r="D419" s="36">
        <f>(1+E417)*(1+E418)*(1+E419)-1</f>
        <v>-3.0985460554000088E-2</v>
      </c>
      <c r="E419" s="4">
        <v>-7.1000000000000004E-3</v>
      </c>
      <c r="F419" s="4">
        <f t="shared" si="225"/>
        <v>1.1792741710743586</v>
      </c>
      <c r="G419" s="40">
        <f t="shared" si="210"/>
        <v>217.9274171074357</v>
      </c>
      <c r="H419" s="36">
        <f>(1+I417)*(1+I418)*(1+I419)-1</f>
        <v>-2.8671371020000058E-2</v>
      </c>
      <c r="I419" s="4">
        <v>-7.0000000000000001E-3</v>
      </c>
      <c r="J419" s="4">
        <f t="shared" si="224"/>
        <v>1.3657249794606612</v>
      </c>
      <c r="K419" s="40">
        <f t="shared" si="212"/>
        <v>236.57249794606645</v>
      </c>
      <c r="L419" s="36">
        <f>(1+M417)*(1+M418)*(1+M419)-1</f>
        <v>3.2158019199999721E-2</v>
      </c>
      <c r="M419" s="4">
        <v>3.1E-2</v>
      </c>
      <c r="N419" s="4">
        <f t="shared" si="226"/>
        <v>1.9767305482231179</v>
      </c>
      <c r="O419" s="40">
        <f t="shared" si="213"/>
        <v>297.67305482231194</v>
      </c>
      <c r="P419" s="36">
        <f>(1+Q417)*(1+Q418)*(1+Q419)-1</f>
        <v>-1.0126343875068833E-2</v>
      </c>
      <c r="Q419" s="4">
        <v>-2.03114757663404E-2</v>
      </c>
      <c r="R419" s="4">
        <f t="shared" si="214"/>
        <v>1.2449722002719446</v>
      </c>
      <c r="S419" s="41">
        <f t="shared" si="215"/>
        <v>224.4972200271944</v>
      </c>
    </row>
    <row r="420" spans="1:19" ht="13.5" x14ac:dyDescent="0.25">
      <c r="A420" s="2">
        <v>45504</v>
      </c>
      <c r="B420" s="49">
        <v>11837351.85</v>
      </c>
      <c r="C420" s="6">
        <v>18</v>
      </c>
      <c r="D420" s="37"/>
      <c r="E420" s="4">
        <v>4.7399999999999998E-2</v>
      </c>
      <c r="F420" s="4">
        <f t="shared" si="225"/>
        <v>1.2825717667832834</v>
      </c>
      <c r="G420" s="40">
        <f t="shared" si="210"/>
        <v>228.25717667832816</v>
      </c>
      <c r="H420" s="37"/>
      <c r="I420" s="4">
        <v>4.9799999999999997E-2</v>
      </c>
      <c r="J420" s="4">
        <f t="shared" si="224"/>
        <v>1.4835380834378022</v>
      </c>
      <c r="K420" s="40">
        <f t="shared" si="212"/>
        <v>248.35380834378057</v>
      </c>
      <c r="L420" s="37"/>
      <c r="M420" s="4">
        <v>1.8599999999999998E-2</v>
      </c>
      <c r="N420" s="4">
        <f t="shared" si="226"/>
        <v>2.0320977364200679</v>
      </c>
      <c r="O420" s="40">
        <f t="shared" si="213"/>
        <v>303.20977364200695</v>
      </c>
      <c r="P420" s="37"/>
      <c r="Q420" s="4">
        <v>7.5890521295453692E-2</v>
      </c>
      <c r="R420" s="4">
        <f t="shared" si="214"/>
        <v>1.4153443108443842</v>
      </c>
      <c r="S420" s="41">
        <f t="shared" si="215"/>
        <v>241.53443108443835</v>
      </c>
    </row>
    <row r="421" spans="1:19" ht="13.5" x14ac:dyDescent="0.25">
      <c r="A421" s="2">
        <v>45535</v>
      </c>
      <c r="B421" s="49">
        <v>12036789.68</v>
      </c>
      <c r="C421" s="6">
        <v>18</v>
      </c>
      <c r="D421" s="37"/>
      <c r="E421" s="4">
        <v>1.6799999999999999E-2</v>
      </c>
      <c r="F421" s="4">
        <f t="shared" si="225"/>
        <v>1.3209189724652424</v>
      </c>
      <c r="G421" s="40">
        <f t="shared" si="210"/>
        <v>232.09189724652407</v>
      </c>
      <c r="H421" s="37"/>
      <c r="I421" s="4">
        <v>1.6899999999999998E-2</v>
      </c>
      <c r="J421" s="4">
        <f t="shared" si="224"/>
        <v>1.525509877047901</v>
      </c>
      <c r="K421" s="40">
        <f t="shared" si="212"/>
        <v>252.55098770479043</v>
      </c>
      <c r="L421" s="37"/>
      <c r="M421" s="4">
        <v>2.18E-2</v>
      </c>
      <c r="N421" s="4">
        <f t="shared" si="226"/>
        <v>2.0981974670740255</v>
      </c>
      <c r="O421" s="40">
        <f t="shared" si="213"/>
        <v>309.81974670740271</v>
      </c>
      <c r="P421" s="37"/>
      <c r="Q421" s="4">
        <v>3.0800427963841203E-2</v>
      </c>
      <c r="R421" s="4">
        <f t="shared" si="214"/>
        <v>1.4897379492984202</v>
      </c>
      <c r="S421" s="41">
        <f t="shared" si="215"/>
        <v>248.97379492984197</v>
      </c>
    </row>
    <row r="422" spans="1:19" ht="13.5" x14ac:dyDescent="0.25">
      <c r="A422" s="2">
        <v>45565</v>
      </c>
      <c r="B422" s="49">
        <v>11868820.699999999</v>
      </c>
      <c r="C422" s="6">
        <v>17</v>
      </c>
      <c r="D422" s="36">
        <f>(1+E420)*(1+E421)*(1+E422)-1</f>
        <v>8.150376296000017E-2</v>
      </c>
      <c r="E422" s="4">
        <v>1.55E-2</v>
      </c>
      <c r="F422" s="4">
        <f t="shared" si="225"/>
        <v>1.3568932165384537</v>
      </c>
      <c r="G422" s="40">
        <f t="shared" si="210"/>
        <v>235.68932165384521</v>
      </c>
      <c r="H422" s="36">
        <f>(1+I420)*(1+I421)*(1+I422)-1</f>
        <v>8.408851511000015E-2</v>
      </c>
      <c r="I422" s="4">
        <v>1.55E-2</v>
      </c>
      <c r="J422" s="4">
        <f t="shared" si="224"/>
        <v>1.5646552801421438</v>
      </c>
      <c r="K422" s="40">
        <f t="shared" si="212"/>
        <v>256.46552801421473</v>
      </c>
      <c r="L422" s="36">
        <f>(1+M420)*(1+M421)*(1+M422)-1</f>
        <v>6.2350153435999811E-2</v>
      </c>
      <c r="M422" s="4">
        <v>2.07E-2</v>
      </c>
      <c r="N422" s="4">
        <f t="shared" si="226"/>
        <v>2.1623301546424578</v>
      </c>
      <c r="O422" s="40">
        <f t="shared" si="213"/>
        <v>316.23301546424591</v>
      </c>
      <c r="P422" s="36">
        <f>(1+Q420)*(1+Q421)*(1+Q422)-1</f>
        <v>0.13132117114688824</v>
      </c>
      <c r="Q422" s="4">
        <v>2.0101163465635202E-2</v>
      </c>
      <c r="R422" s="4">
        <f t="shared" si="214"/>
        <v>1.5397845788038631</v>
      </c>
      <c r="S422" s="41">
        <f t="shared" si="215"/>
        <v>253.97845788038626</v>
      </c>
    </row>
    <row r="423" spans="1:19" ht="13.5" x14ac:dyDescent="0.25">
      <c r="A423" s="2">
        <v>45596</v>
      </c>
      <c r="B423" s="49">
        <v>11520042.16</v>
      </c>
      <c r="C423" s="6">
        <v>17</v>
      </c>
      <c r="D423" s="37"/>
      <c r="E423" s="4">
        <v>-2.9000000000000001E-2</v>
      </c>
      <c r="F423" s="4">
        <f t="shared" ref="F423:F428" si="227">(F422+1)*(E423+1)-1</f>
        <v>1.2885433132588386</v>
      </c>
      <c r="G423" s="40">
        <f t="shared" si="210"/>
        <v>228.85433132588369</v>
      </c>
      <c r="H423" s="37"/>
      <c r="I423" s="4">
        <v>-2.6700000000000002E-2</v>
      </c>
      <c r="J423" s="4">
        <f t="shared" si="224"/>
        <v>1.4961789841623485</v>
      </c>
      <c r="K423" s="40">
        <f t="shared" si="212"/>
        <v>249.61789841623522</v>
      </c>
      <c r="L423" s="37"/>
      <c r="M423" s="4">
        <v>-7.4000000000000003E-3</v>
      </c>
      <c r="N423" s="4">
        <f t="shared" ref="N423:N428" si="228">(N422+1)*(M423+1)-1</f>
        <v>2.1389289114981036</v>
      </c>
      <c r="O423" s="40">
        <f t="shared" si="213"/>
        <v>313.89289114981051</v>
      </c>
      <c r="P423" s="37"/>
      <c r="Q423" s="4">
        <v>-2.0630057657647898E-3</v>
      </c>
      <c r="R423" s="4">
        <f t="shared" si="214"/>
        <v>1.5345449885739901</v>
      </c>
      <c r="S423" s="41">
        <f t="shared" si="215"/>
        <v>253.45449885739896</v>
      </c>
    </row>
    <row r="424" spans="1:19" ht="13.5" x14ac:dyDescent="0.25">
      <c r="A424" s="2">
        <v>45626</v>
      </c>
      <c r="B424" s="49">
        <v>11922008.640000001</v>
      </c>
      <c r="C424" s="6">
        <v>17</v>
      </c>
      <c r="D424" s="37"/>
      <c r="E424" s="4">
        <v>3.6900000000000002E-2</v>
      </c>
      <c r="F424" s="4">
        <f t="shared" si="227"/>
        <v>1.3729905615180895</v>
      </c>
      <c r="G424" s="40">
        <f t="shared" si="210"/>
        <v>237.2990561518088</v>
      </c>
      <c r="H424" s="37"/>
      <c r="I424" s="4">
        <v>3.6900000000000002E-2</v>
      </c>
      <c r="J424" s="4">
        <f t="shared" si="224"/>
        <v>1.5882879886779389</v>
      </c>
      <c r="K424" s="40">
        <f t="shared" si="212"/>
        <v>258.82879886779426</v>
      </c>
      <c r="L424" s="37"/>
      <c r="M424" s="4">
        <v>6.6600000000000006E-2</v>
      </c>
      <c r="N424" s="4">
        <f t="shared" si="228"/>
        <v>2.3479815770038774</v>
      </c>
      <c r="O424" s="40">
        <f t="shared" si="213"/>
        <v>334.79815770038789</v>
      </c>
      <c r="P424" s="37"/>
      <c r="Q424" s="4">
        <v>6.3548908082297503E-2</v>
      </c>
      <c r="R424" s="4">
        <f t="shared" si="214"/>
        <v>1.6956125550833265</v>
      </c>
      <c r="S424" s="41">
        <f t="shared" si="215"/>
        <v>269.56125550833258</v>
      </c>
    </row>
    <row r="425" spans="1:19" ht="13.5" x14ac:dyDescent="0.25">
      <c r="A425" s="2">
        <v>45657</v>
      </c>
      <c r="B425" s="49">
        <v>11052743.84</v>
      </c>
      <c r="C425" s="6">
        <v>17</v>
      </c>
      <c r="D425" s="36">
        <f>(1+E423)*(1+E424)*(1+E425)-1</f>
        <v>-5.3579894000000183E-2</v>
      </c>
      <c r="E425" s="4">
        <v>-0.06</v>
      </c>
      <c r="F425" s="4">
        <f t="shared" si="227"/>
        <v>1.2306111278270042</v>
      </c>
      <c r="G425" s="40">
        <f t="shared" si="210"/>
        <v>223.06111278270026</v>
      </c>
      <c r="H425" s="36">
        <f>(1+I423)*(1+I424)*(1+I425)-1</f>
        <v>-5.1338116200000061E-2</v>
      </c>
      <c r="I425" s="4">
        <v>-0.06</v>
      </c>
      <c r="J425" s="4">
        <f t="shared" si="224"/>
        <v>1.4329907093572625</v>
      </c>
      <c r="K425" s="40">
        <f t="shared" si="212"/>
        <v>243.2990709357266</v>
      </c>
      <c r="L425" s="36">
        <f>(1+M423)*(1+M424)*(1+M425)-1</f>
        <v>2.6310720904000107E-2</v>
      </c>
      <c r="M425" s="4">
        <v>-3.0599999999999999E-2</v>
      </c>
      <c r="N425" s="4">
        <f t="shared" si="228"/>
        <v>2.2455333407475591</v>
      </c>
      <c r="O425" s="40">
        <f t="shared" si="213"/>
        <v>324.55333407475604</v>
      </c>
      <c r="P425" s="36">
        <f>(1+Q423)*(1+Q424)*(1+Q425)-1</f>
        <v>-1.8482961982952184E-2</v>
      </c>
      <c r="Q425" s="4">
        <v>-7.5222500990360402E-2</v>
      </c>
      <c r="R425" s="4">
        <f t="shared" si="214"/>
        <v>1.4928418369889429</v>
      </c>
      <c r="S425" s="41">
        <f t="shared" si="215"/>
        <v>249.28418369889422</v>
      </c>
    </row>
    <row r="426" spans="1:19" ht="13.5" x14ac:dyDescent="0.25">
      <c r="A426" s="2">
        <v>45688</v>
      </c>
      <c r="B426" s="49">
        <v>11313503.689999999</v>
      </c>
      <c r="C426" s="6">
        <v>17</v>
      </c>
      <c r="D426" s="37"/>
      <c r="E426" s="4">
        <v>2.41E-2</v>
      </c>
      <c r="F426" s="4">
        <f t="shared" si="227"/>
        <v>1.2843688560076352</v>
      </c>
      <c r="G426" s="40">
        <f t="shared" si="210"/>
        <v>228.43688560076333</v>
      </c>
      <c r="H426" s="37"/>
      <c r="I426" s="4">
        <v>2.6599999999999999E-2</v>
      </c>
      <c r="J426" s="4">
        <f t="shared" si="224"/>
        <v>1.4977082622261655</v>
      </c>
      <c r="K426" s="40">
        <f t="shared" si="212"/>
        <v>249.77082622261693</v>
      </c>
      <c r="L426" s="37"/>
      <c r="M426" s="4">
        <v>3.1600000000000003E-2</v>
      </c>
      <c r="N426" s="4">
        <f t="shared" si="228"/>
        <v>2.348092194315182</v>
      </c>
      <c r="O426" s="40">
        <f t="shared" si="213"/>
        <v>334.80921943151833</v>
      </c>
      <c r="P426" s="37"/>
      <c r="Q426" s="4">
        <v>2.7278412871572601E-2</v>
      </c>
      <c r="R426" s="4">
        <f t="shared" si="214"/>
        <v>1.5608426058418567</v>
      </c>
      <c r="S426" s="41">
        <f t="shared" si="215"/>
        <v>256.08426058418564</v>
      </c>
    </row>
    <row r="427" spans="1:19" ht="13.5" x14ac:dyDescent="0.25">
      <c r="A427" s="2">
        <v>45716</v>
      </c>
      <c r="B427" s="49">
        <v>11508161.720000001</v>
      </c>
      <c r="C427" s="6">
        <v>17</v>
      </c>
      <c r="D427" s="37"/>
      <c r="E427" s="4">
        <v>4.3E-3</v>
      </c>
      <c r="F427" s="4">
        <f t="shared" si="227"/>
        <v>1.2941916420884678</v>
      </c>
      <c r="G427" s="40">
        <f t="shared" si="210"/>
        <v>229.41916420884661</v>
      </c>
      <c r="H427" s="37"/>
      <c r="I427" s="4">
        <v>4.3E-3</v>
      </c>
      <c r="J427" s="4">
        <f t="shared" si="224"/>
        <v>1.5084484077537379</v>
      </c>
      <c r="K427" s="40">
        <f t="shared" si="212"/>
        <v>250.84484077537417</v>
      </c>
      <c r="L427" s="37"/>
      <c r="M427" s="4">
        <v>-1.9199999999999998E-2</v>
      </c>
      <c r="N427" s="4">
        <f t="shared" si="228"/>
        <v>2.2838088241843306</v>
      </c>
      <c r="O427" s="40">
        <f t="shared" si="213"/>
        <v>328.3808824184332</v>
      </c>
      <c r="P427" s="37"/>
      <c r="Q427" s="4">
        <v>2.5344783011183699E-2</v>
      </c>
      <c r="R427" s="4">
        <f t="shared" si="214"/>
        <v>1.6257466060127128</v>
      </c>
      <c r="S427" s="41">
        <f t="shared" si="215"/>
        <v>262.57466060127126</v>
      </c>
    </row>
    <row r="428" spans="1:19" ht="13.5" x14ac:dyDescent="0.25">
      <c r="A428" s="2">
        <v>45747</v>
      </c>
      <c r="B428" s="49">
        <v>11954085.689999999</v>
      </c>
      <c r="C428" s="6">
        <v>19</v>
      </c>
      <c r="D428" s="36">
        <f>(1+E426)*(1+E427)*(1+E428)-1</f>
        <v>1.6264436802999827E-2</v>
      </c>
      <c r="E428" s="4">
        <v>-1.1900000000000001E-2</v>
      </c>
      <c r="F428" s="4">
        <f t="shared" si="227"/>
        <v>1.2668907615476148</v>
      </c>
      <c r="G428" s="40">
        <f t="shared" si="210"/>
        <v>226.68907615476132</v>
      </c>
      <c r="H428" s="36">
        <f>(1+I426)*(1+I427)*(1+I428)-1</f>
        <v>1.8745308878000078E-2</v>
      </c>
      <c r="I428" s="4">
        <v>-1.1900000000000001E-2</v>
      </c>
      <c r="J428" s="4">
        <f t="shared" si="224"/>
        <v>1.4785978717014685</v>
      </c>
      <c r="K428" s="40">
        <f t="shared" si="212"/>
        <v>247.8597871701472</v>
      </c>
      <c r="L428" s="36">
        <f>(1+M426)*(1+M427)*(1+M428)-1</f>
        <v>-4.7194268223999969E-2</v>
      </c>
      <c r="M428" s="4">
        <v>-5.8299999999999998E-2</v>
      </c>
      <c r="N428" s="4">
        <f t="shared" si="228"/>
        <v>2.0923627697343843</v>
      </c>
      <c r="O428" s="40">
        <f t="shared" si="213"/>
        <v>309.23627697343852</v>
      </c>
      <c r="P428" s="36">
        <f>(1+Q426)*(1+Q427)*(1+Q428)-1</f>
        <v>3.2510202274914413E-2</v>
      </c>
      <c r="Q428" s="4">
        <v>-1.97513257924932E-2</v>
      </c>
      <c r="R428" s="4">
        <f t="shared" si="214"/>
        <v>1.5738846293488225</v>
      </c>
      <c r="S428" s="41">
        <f t="shared" si="215"/>
        <v>257.38846293488223</v>
      </c>
    </row>
    <row r="429" spans="1:19" ht="13.5" x14ac:dyDescent="0.25">
      <c r="A429" s="2">
        <v>45777</v>
      </c>
      <c r="B429" s="49">
        <v>11363557.890000001</v>
      </c>
      <c r="C429" s="6">
        <v>19</v>
      </c>
      <c r="D429" s="37"/>
      <c r="E429" s="4">
        <v>-4.9000000000000002E-2</v>
      </c>
      <c r="F429" s="4">
        <f t="shared" ref="F429:F434" si="229">(F428+1)*(E429+1)-1</f>
        <v>1.1558131142317816</v>
      </c>
      <c r="G429" s="40">
        <f t="shared" si="210"/>
        <v>215.58131142317802</v>
      </c>
      <c r="H429" s="37"/>
      <c r="I429" s="4">
        <v>-4.6600000000000003E-2</v>
      </c>
      <c r="J429" s="4">
        <f t="shared" si="224"/>
        <v>1.3630952108801799</v>
      </c>
      <c r="K429" s="40">
        <f t="shared" si="212"/>
        <v>236.30952108801836</v>
      </c>
      <c r="L429" s="37"/>
      <c r="M429" s="4">
        <v>-6.7000000000000002E-3</v>
      </c>
      <c r="N429" s="4">
        <f t="shared" ref="N429:N434" si="230">(N428+1)*(M429+1)-1</f>
        <v>2.0716439391771639</v>
      </c>
      <c r="O429" s="40">
        <f t="shared" si="213"/>
        <v>307.1643939177165</v>
      </c>
      <c r="P429" s="37"/>
      <c r="Q429" s="4">
        <v>-4.3700000000000003E-2</v>
      </c>
      <c r="R429" s="4">
        <f t="shared" si="214"/>
        <v>1.4614058710462792</v>
      </c>
      <c r="S429" s="41">
        <f t="shared" si="215"/>
        <v>246.14058710462788</v>
      </c>
    </row>
    <row r="430" spans="1:19" ht="13.5" x14ac:dyDescent="0.25">
      <c r="A430" s="2">
        <v>45808</v>
      </c>
      <c r="B430" s="49">
        <v>11632412.41</v>
      </c>
      <c r="C430" s="6">
        <v>19</v>
      </c>
      <c r="D430" s="37"/>
      <c r="E430" s="4">
        <v>2.41E-2</v>
      </c>
      <c r="F430" s="4">
        <f t="shared" si="229"/>
        <v>1.2077682102847676</v>
      </c>
      <c r="G430" s="40">
        <f t="shared" si="210"/>
        <v>220.7768210284766</v>
      </c>
      <c r="H430" s="37"/>
      <c r="I430" s="4">
        <v>2.41E-2</v>
      </c>
      <c r="J430" s="4">
        <f t="shared" si="224"/>
        <v>1.4200458054623923</v>
      </c>
      <c r="K430" s="40">
        <f t="shared" si="212"/>
        <v>242.00458054623959</v>
      </c>
      <c r="L430" s="37"/>
      <c r="M430" s="4">
        <v>6.3399999999999998E-2</v>
      </c>
      <c r="N430" s="4">
        <f t="shared" si="230"/>
        <v>2.2663861649209958</v>
      </c>
      <c r="O430" s="40">
        <f t="shared" si="213"/>
        <v>326.63861649209969</v>
      </c>
      <c r="P430" s="37"/>
      <c r="Q430" s="4">
        <v>2.24E-2</v>
      </c>
      <c r="R430" s="4">
        <f t="shared" si="214"/>
        <v>1.5165413625577155</v>
      </c>
      <c r="S430" s="41">
        <f t="shared" si="215"/>
        <v>251.65413625577153</v>
      </c>
    </row>
    <row r="431" spans="1:19" ht="13.5" x14ac:dyDescent="0.25">
      <c r="A431" s="2">
        <v>45838</v>
      </c>
      <c r="B431" s="49">
        <v>11882308.880000001</v>
      </c>
      <c r="C431" s="6">
        <v>19</v>
      </c>
      <c r="D431" s="36">
        <f>(1+E429)*(1+E430)*(1+E431)-1</f>
        <v>-7.8686128300001767E-3</v>
      </c>
      <c r="E431" s="4">
        <v>1.8700000000000001E-2</v>
      </c>
      <c r="F431" s="4">
        <f t="shared" si="229"/>
        <v>1.2490534758170924</v>
      </c>
      <c r="G431" s="40">
        <f t="shared" si="210"/>
        <v>224.90534758170909</v>
      </c>
      <c r="H431" s="36">
        <f>(1+I429)*(1+I430)*(1+I431)-1</f>
        <v>-5.3648112219999433E-3</v>
      </c>
      <c r="I431" s="4">
        <v>1.8700000000000001E-2</v>
      </c>
      <c r="J431" s="4">
        <f t="shared" si="224"/>
        <v>1.4653006620245388</v>
      </c>
      <c r="K431" s="40">
        <f t="shared" si="212"/>
        <v>246.53006620245426</v>
      </c>
      <c r="L431" s="36">
        <f>(1+M429)*(1+M430)*(1+M431)-1</f>
        <v>0.10993400117599972</v>
      </c>
      <c r="M431" s="4">
        <v>5.0799999999999998E-2</v>
      </c>
      <c r="N431" s="4">
        <f t="shared" si="230"/>
        <v>2.4323185820989823</v>
      </c>
      <c r="O431" s="40">
        <f t="shared" si="213"/>
        <v>343.23185820989835</v>
      </c>
      <c r="P431" s="36">
        <f>(1+Q429)*(1+Q430)*(1+Q431)-1</f>
        <v>-1.0623316959998963E-3</v>
      </c>
      <c r="Q431" s="4">
        <v>2.1700000000000001E-2</v>
      </c>
      <c r="R431" s="4">
        <f t="shared" si="214"/>
        <v>1.5711503101252182</v>
      </c>
      <c r="S431" s="41">
        <f t="shared" si="215"/>
        <v>257.1150310125218</v>
      </c>
    </row>
    <row r="432" spans="1:19" ht="13.5" x14ac:dyDescent="0.25">
      <c r="A432" s="2">
        <v>45869</v>
      </c>
      <c r="B432" s="49">
        <v>11231813.85</v>
      </c>
      <c r="C432" s="6">
        <v>18</v>
      </c>
      <c r="D432" s="37"/>
      <c r="E432" s="4">
        <v>4.5999999999999999E-3</v>
      </c>
      <c r="F432" s="4">
        <f t="shared" si="229"/>
        <v>1.2593991218058509</v>
      </c>
      <c r="G432" s="40">
        <f t="shared" si="210"/>
        <v>225.93991218058494</v>
      </c>
      <c r="H432" s="37"/>
      <c r="I432" s="4">
        <v>6.4999999999999997E-3</v>
      </c>
      <c r="J432" s="4">
        <f t="shared" si="224"/>
        <v>1.4813251163276981</v>
      </c>
      <c r="K432" s="40">
        <f t="shared" si="212"/>
        <v>248.13251163277022</v>
      </c>
      <c r="L432" s="37"/>
      <c r="M432" s="4">
        <v>2.1999999999999999E-2</v>
      </c>
      <c r="N432" s="4">
        <f t="shared" si="230"/>
        <v>2.50782959090516</v>
      </c>
      <c r="O432" s="40">
        <f t="shared" si="213"/>
        <v>350.7829590905161</v>
      </c>
      <c r="P432" s="37"/>
      <c r="Q432" s="4">
        <v>1.6899999999999998E-2</v>
      </c>
      <c r="R432" s="4">
        <f t="shared" si="214"/>
        <v>1.614602750366334</v>
      </c>
      <c r="S432" s="41">
        <f t="shared" si="215"/>
        <v>261.46027503663339</v>
      </c>
    </row>
    <row r="433" spans="1:19" ht="13.5" x14ac:dyDescent="0.25">
      <c r="A433" s="2">
        <v>45900</v>
      </c>
      <c r="B433" s="49">
        <v>11472716.060000001</v>
      </c>
      <c r="C433" s="6">
        <v>18</v>
      </c>
      <c r="D433" s="37"/>
      <c r="E433" s="4">
        <v>2.1899999999999999E-2</v>
      </c>
      <c r="F433" s="4">
        <f t="shared" si="229"/>
        <v>1.3088799625733989</v>
      </c>
      <c r="G433" s="40">
        <f t="shared" si="210"/>
        <v>230.88799625733975</v>
      </c>
      <c r="H433" s="37"/>
      <c r="I433" s="4">
        <v>2.1899999999999999E-2</v>
      </c>
      <c r="J433" s="4">
        <f t="shared" si="224"/>
        <v>1.5356661363752746</v>
      </c>
      <c r="K433" s="40">
        <f t="shared" si="212"/>
        <v>253.56661363752789</v>
      </c>
      <c r="L433" s="37"/>
      <c r="M433" s="4">
        <v>2.3199999999999998E-2</v>
      </c>
      <c r="N433" s="4">
        <f t="shared" si="230"/>
        <v>2.58921123741416</v>
      </c>
      <c r="O433" s="40">
        <f t="shared" si="213"/>
        <v>358.92112374141612</v>
      </c>
      <c r="P433" s="37"/>
      <c r="Q433" s="4">
        <v>5.1400000000000001E-2</v>
      </c>
      <c r="R433" s="4">
        <f t="shared" si="214"/>
        <v>1.7489933317351638</v>
      </c>
      <c r="S433" s="41">
        <f t="shared" si="215"/>
        <v>274.89933317351637</v>
      </c>
    </row>
    <row r="434" spans="1:19" ht="13.5" x14ac:dyDescent="0.25">
      <c r="A434" s="2">
        <v>45930</v>
      </c>
      <c r="B434" s="49">
        <v>11496448.92</v>
      </c>
      <c r="C434" s="6">
        <v>18</v>
      </c>
      <c r="D434" s="36">
        <f>(1+E432)*(1+E433)*(1+E434)-1</f>
        <v>2.9167241849999748E-2</v>
      </c>
      <c r="E434" s="4">
        <v>2.5000000000000001E-3</v>
      </c>
      <c r="F434" s="4">
        <f t="shared" si="229"/>
        <v>1.3146521624798324</v>
      </c>
      <c r="G434" s="40">
        <f t="shared" si="210"/>
        <v>231.46521624798308</v>
      </c>
      <c r="H434" s="36">
        <f>(1+I432)*(1+I433)*(1+I434)-1</f>
        <v>3.1113705874999953E-2</v>
      </c>
      <c r="I434" s="4">
        <v>2.5000000000000001E-3</v>
      </c>
      <c r="J434" s="4">
        <f t="shared" si="224"/>
        <v>1.5420053017162125</v>
      </c>
      <c r="K434" s="40">
        <f t="shared" si="212"/>
        <v>254.20053017162169</v>
      </c>
      <c r="L434" s="36">
        <f>(1+M432)*(1+M433)*(1+M434)-1</f>
        <v>8.1787408800000128E-2</v>
      </c>
      <c r="M434" s="4">
        <v>3.4500000000000003E-2</v>
      </c>
      <c r="N434" s="4">
        <f t="shared" si="230"/>
        <v>2.7130390251049485</v>
      </c>
      <c r="O434" s="40">
        <f t="shared" si="213"/>
        <v>371.30390251049499</v>
      </c>
      <c r="P434" s="36">
        <f>(1+Q432)*(1+Q433)*(1+Q434)-1</f>
        <v>8.0929515260000029E-2</v>
      </c>
      <c r="Q434" s="4">
        <v>1.0999999999999999E-2</v>
      </c>
      <c r="R434" s="4">
        <f t="shared" si="214"/>
        <v>1.7792322583842504</v>
      </c>
      <c r="S434" s="41">
        <f t="shared" si="215"/>
        <v>277.92322583842503</v>
      </c>
    </row>
    <row r="435" spans="1:19" ht="13.5" x14ac:dyDescent="0.25">
      <c r="A435" s="2">
        <v>45961</v>
      </c>
      <c r="B435" s="49">
        <v>11870495.08</v>
      </c>
      <c r="C435" s="6">
        <v>19</v>
      </c>
      <c r="D435" s="37"/>
      <c r="E435" s="4">
        <v>-1.01E-2</v>
      </c>
      <c r="F435" s="4">
        <f t="shared" ref="F435:F440" si="231">(F434+1)*(E435+1)-1</f>
        <v>1.2912741756387862</v>
      </c>
      <c r="G435" s="40">
        <f t="shared" ref="G435:G440" si="232">G434*(1+E435)</f>
        <v>229.12741756387845</v>
      </c>
      <c r="H435" s="37"/>
      <c r="I435" s="4">
        <v>-8.0999999999999996E-3</v>
      </c>
      <c r="J435" s="4">
        <f t="shared" ref="J435:J440" si="233">(J434+1)*(I435+1)-1</f>
        <v>1.5214150587723112</v>
      </c>
      <c r="K435" s="40">
        <f t="shared" ref="K435:K440" si="234">K434*(1+I435)</f>
        <v>252.14150587723157</v>
      </c>
      <c r="L435" s="37"/>
      <c r="M435" s="4">
        <v>2.1499999999999998E-2</v>
      </c>
      <c r="N435" s="4">
        <f t="shared" ref="N435:N440" si="235">(N434+1)*(M435+1)-1</f>
        <v>2.7928693641447051</v>
      </c>
      <c r="O435" s="40">
        <f t="shared" ref="O435:O440" si="236">O434*(1+M435)</f>
        <v>379.28693641447069</v>
      </c>
      <c r="P435" s="37"/>
      <c r="Q435" s="4">
        <v>-2.01E-2</v>
      </c>
      <c r="R435" s="4">
        <f t="shared" ref="R435:R440" si="237">(R434+1)*(Q435+1)-1</f>
        <v>1.7233696899907267</v>
      </c>
      <c r="S435" s="41">
        <f t="shared" ref="S435:S440" si="238">S434*(1+Q435)</f>
        <v>272.33696899907267</v>
      </c>
    </row>
    <row r="436" spans="1:19" ht="13.5" x14ac:dyDescent="0.25">
      <c r="A436" s="2">
        <v>45991</v>
      </c>
      <c r="B436" s="49">
        <v>13179147.49</v>
      </c>
      <c r="C436" s="6">
        <v>20</v>
      </c>
      <c r="D436" s="37"/>
      <c r="E436" s="4">
        <v>3.3099999999999997E-2</v>
      </c>
      <c r="F436" s="4">
        <f t="shared" si="231"/>
        <v>1.3671153508524299</v>
      </c>
      <c r="G436" s="40">
        <f t="shared" si="232"/>
        <v>236.71153508524282</v>
      </c>
      <c r="H436" s="37"/>
      <c r="I436" s="4">
        <v>3.3099999999999997E-2</v>
      </c>
      <c r="J436" s="4">
        <f t="shared" si="233"/>
        <v>1.6048738972176744</v>
      </c>
      <c r="K436" s="40">
        <f t="shared" si="234"/>
        <v>260.4873897217679</v>
      </c>
      <c r="L436" s="37"/>
      <c r="M436" s="4">
        <v>2.8E-3</v>
      </c>
      <c r="N436" s="4">
        <f t="shared" si="235"/>
        <v>2.8034893983643099</v>
      </c>
      <c r="O436" s="40">
        <f t="shared" si="236"/>
        <v>380.34893983643116</v>
      </c>
      <c r="P436" s="37"/>
      <c r="Q436" s="4">
        <v>3.2099999999999997E-2</v>
      </c>
      <c r="R436" s="4">
        <f t="shared" si="237"/>
        <v>1.810789857039429</v>
      </c>
      <c r="S436" s="41">
        <f t="shared" si="238"/>
        <v>281.07898570394292</v>
      </c>
    </row>
    <row r="437" spans="1:19" ht="13.5" x14ac:dyDescent="0.25">
      <c r="A437" s="2">
        <v>46022</v>
      </c>
      <c r="B437" s="49">
        <v>12851957.32</v>
      </c>
      <c r="C437" s="6">
        <v>19</v>
      </c>
      <c r="D437" s="36">
        <f>(1+E435)*(1+E436)*(1+E437)-1</f>
        <v>2.1233958033999967E-2</v>
      </c>
      <c r="E437" s="4">
        <v>-1.4E-3</v>
      </c>
      <c r="F437" s="4">
        <f t="shared" si="231"/>
        <v>1.3638013893612366</v>
      </c>
      <c r="G437" s="40">
        <f t="shared" si="232"/>
        <v>236.38013893612347</v>
      </c>
      <c r="H437" s="36">
        <f>(1+I435)*(1+I436)*(1+I437)-1</f>
        <v>2.3297265354000007E-2</v>
      </c>
      <c r="I437" s="4">
        <v>-1.4E-3</v>
      </c>
      <c r="J437" s="4">
        <f t="shared" si="233"/>
        <v>1.6012270737615699</v>
      </c>
      <c r="K437" s="40">
        <f t="shared" si="234"/>
        <v>260.12270737615745</v>
      </c>
      <c r="L437" s="36">
        <f>(1+M435)*(1+M436)*(1+M437)-1</f>
        <v>2.4155327959999973E-2</v>
      </c>
      <c r="M437" s="4">
        <v>-2.0000000000000001E-4</v>
      </c>
      <c r="N437" s="4">
        <f t="shared" si="235"/>
        <v>2.8027287004846371</v>
      </c>
      <c r="O437" s="40">
        <f t="shared" si="236"/>
        <v>380.27287004846386</v>
      </c>
      <c r="P437" s="36">
        <f>(1+Q435)*(1+Q436)*(1+Q437)-1</f>
        <v>5.5900676969999896E-3</v>
      </c>
      <c r="Q437" s="4">
        <v>-5.7000000000000002E-3</v>
      </c>
      <c r="R437" s="4">
        <f t="shared" si="237"/>
        <v>1.7947683548543041</v>
      </c>
      <c r="S437" s="41">
        <f t="shared" si="238"/>
        <v>279.47683548543046</v>
      </c>
    </row>
    <row r="438" spans="1:19" ht="13.5" x14ac:dyDescent="0.25">
      <c r="A438" s="2">
        <v>46053</v>
      </c>
      <c r="B438" s="57">
        <v>12604180.310000001</v>
      </c>
      <c r="C438" s="6">
        <v>18</v>
      </c>
      <c r="D438" s="36"/>
      <c r="E438" s="4">
        <v>5.67E-2</v>
      </c>
      <c r="F438" s="4">
        <f t="shared" si="231"/>
        <v>1.4978289281380186</v>
      </c>
      <c r="G438" s="40">
        <f t="shared" si="232"/>
        <v>249.78289281380168</v>
      </c>
      <c r="H438" s="36"/>
      <c r="I438" s="4">
        <v>5.8799999999999998E-2</v>
      </c>
      <c r="J438" s="4">
        <f t="shared" si="233"/>
        <v>1.7541792256987501</v>
      </c>
      <c r="K438" s="40">
        <f t="shared" si="234"/>
        <v>275.41792256987549</v>
      </c>
      <c r="L438" s="36"/>
      <c r="M438" s="4">
        <v>1.55E-2</v>
      </c>
      <c r="N438" s="4">
        <f t="shared" si="235"/>
        <v>2.8616709953421493</v>
      </c>
      <c r="O438" s="40">
        <f t="shared" si="236"/>
        <v>386.16709953421508</v>
      </c>
      <c r="P438" s="36"/>
      <c r="Q438" s="4">
        <v>6.6400000000000001E-2</v>
      </c>
      <c r="R438" s="4">
        <f t="shared" si="237"/>
        <v>1.98034097361663</v>
      </c>
      <c r="S438" s="41">
        <f t="shared" si="238"/>
        <v>298.03409736166304</v>
      </c>
    </row>
    <row r="439" spans="1:19" ht="13.5" x14ac:dyDescent="0.25">
      <c r="A439" s="2">
        <v>46081</v>
      </c>
      <c r="B439" s="57">
        <v>14093199.92</v>
      </c>
      <c r="C439" s="6">
        <v>19</v>
      </c>
      <c r="D439" s="36"/>
      <c r="E439" s="4">
        <v>3.95E-2</v>
      </c>
      <c r="F439" s="4">
        <f t="shared" si="231"/>
        <v>1.5964931707994707</v>
      </c>
      <c r="G439" s="40">
        <f t="shared" si="232"/>
        <v>259.64931707994685</v>
      </c>
      <c r="H439" s="36"/>
      <c r="I439" s="4">
        <v>3.95E-2</v>
      </c>
      <c r="J439" s="4">
        <f t="shared" si="233"/>
        <v>1.8629693051138507</v>
      </c>
      <c r="K439" s="40">
        <f t="shared" si="234"/>
        <v>286.2969305113856</v>
      </c>
      <c r="L439" s="36"/>
      <c r="M439" s="4">
        <v>-4.7000000000000002E-3</v>
      </c>
      <c r="N439" s="4">
        <f t="shared" si="235"/>
        <v>2.8435211416640409</v>
      </c>
      <c r="O439" s="40">
        <f t="shared" si="236"/>
        <v>384.35211416640425</v>
      </c>
      <c r="P439" s="36"/>
      <c r="Q439" s="4">
        <v>3.8899999999999997E-2</v>
      </c>
      <c r="R439" s="4">
        <f t="shared" si="237"/>
        <v>2.0962762374903168</v>
      </c>
      <c r="S439" s="41">
        <f t="shared" si="238"/>
        <v>309.62762374903173</v>
      </c>
    </row>
    <row r="440" spans="1:19" ht="13.5" x14ac:dyDescent="0.25">
      <c r="A440" s="2">
        <v>46112</v>
      </c>
      <c r="B440" s="57">
        <v>12263420.58</v>
      </c>
      <c r="C440" s="6">
        <v>17</v>
      </c>
      <c r="D440" s="36">
        <f>(1+E438)*(1+E439)*(1+E440)-1</f>
        <v>5.0657525225000111E-2</v>
      </c>
      <c r="E440" s="4">
        <v>-4.3499999999999997E-2</v>
      </c>
      <c r="F440" s="4">
        <f t="shared" si="231"/>
        <v>1.4835457178696938</v>
      </c>
      <c r="G440" s="40">
        <f t="shared" si="232"/>
        <v>248.35457178696916</v>
      </c>
      <c r="H440" s="36">
        <f>(1+I438)*(1+I439)*(1+I440)-1</f>
        <v>5.2745516900000178E-2</v>
      </c>
      <c r="I440" s="4">
        <v>-4.3499999999999997E-2</v>
      </c>
      <c r="J440" s="4">
        <f t="shared" si="233"/>
        <v>1.7384301403413982</v>
      </c>
      <c r="K440" s="40">
        <f t="shared" si="234"/>
        <v>273.84301403414031</v>
      </c>
      <c r="L440" s="36">
        <f>(1+M438)*(1+M439)*(1+M440)-1</f>
        <v>-3.9505989354999826E-2</v>
      </c>
      <c r="M440" s="4">
        <v>-4.9700000000000001E-2</v>
      </c>
      <c r="N440" s="4">
        <f t="shared" si="235"/>
        <v>2.6524981409233384</v>
      </c>
      <c r="O440" s="40">
        <f t="shared" si="236"/>
        <v>365.24981409233396</v>
      </c>
      <c r="P440" s="36">
        <f>(1+Q438)*(1+Q439)*(1+Q440)-1</f>
        <v>8.1626133847999993E-2</v>
      </c>
      <c r="Q440" s="4">
        <v>-2.3699999999999999E-2</v>
      </c>
      <c r="R440" s="4">
        <f t="shared" si="237"/>
        <v>2.0228944906617961</v>
      </c>
      <c r="S440" s="41">
        <f t="shared" si="238"/>
        <v>302.28944906617966</v>
      </c>
    </row>
    <row r="441" spans="1:19" ht="13.5" x14ac:dyDescent="0.25">
      <c r="A441" s="2">
        <v>46142</v>
      </c>
      <c r="B441" s="57">
        <v>13516537.02</v>
      </c>
      <c r="C441" s="6">
        <v>18</v>
      </c>
      <c r="D441" s="36"/>
      <c r="E441" s="4">
        <v>2.3400000000000001E-2</v>
      </c>
      <c r="F441" s="4">
        <f t="shared" ref="F441" si="239">(F440+1)*(E441+1)-1</f>
        <v>1.5416606876678447</v>
      </c>
      <c r="G441" s="40">
        <f t="shared" ref="G441" si="240">G440*(1+E441)</f>
        <v>254.16606876678426</v>
      </c>
      <c r="H441" s="36"/>
      <c r="I441" s="4">
        <v>2.5399999999999999E-2</v>
      </c>
      <c r="J441" s="4">
        <f t="shared" ref="J441" si="241">(J440+1)*(I441+1)-1</f>
        <v>1.8079862659060701</v>
      </c>
      <c r="K441" s="40">
        <f t="shared" ref="K441" si="242">K440*(1+I441)</f>
        <v>280.79862659060751</v>
      </c>
      <c r="L441" s="36"/>
      <c r="M441" s="4">
        <v>0.1021</v>
      </c>
      <c r="N441" s="4">
        <f t="shared" ref="N441" si="243">(N440+1)*(M441+1)-1</f>
        <v>3.0254182011116111</v>
      </c>
      <c r="O441" s="40">
        <f t="shared" ref="O441" si="244">O440*(1+M441)</f>
        <v>402.54182011116131</v>
      </c>
      <c r="P441" s="36"/>
      <c r="Q441" s="4">
        <v>2.6800000000000001E-2</v>
      </c>
      <c r="R441" s="4">
        <f t="shared" ref="R441" si="245">(R440+1)*(Q441+1)-1</f>
        <v>2.1039080630115321</v>
      </c>
      <c r="S441" s="41">
        <f t="shared" ref="S441" si="246">S440*(1+Q441)</f>
        <v>310.39080630115325</v>
      </c>
    </row>
    <row r="442" spans="1:19" ht="13.5" x14ac:dyDescent="0.25">
      <c r="A442" s="2">
        <v>46173</v>
      </c>
      <c r="B442" s="57">
        <v>13296585.720000001</v>
      </c>
      <c r="C442" s="6">
        <v>18</v>
      </c>
      <c r="D442" s="36"/>
      <c r="E442" s="4">
        <v>-1.5599999999999999E-2</v>
      </c>
      <c r="F442" s="4">
        <f t="shared" ref="F442" si="247">(F441+1)*(E442+1)-1</f>
        <v>1.5020107809402266</v>
      </c>
      <c r="G442" s="40">
        <f t="shared" ref="G442" si="248">G441*(1+E442)</f>
        <v>250.20107809402245</v>
      </c>
      <c r="H442" s="36"/>
      <c r="I442" s="4">
        <v>-1.5599999999999999E-2</v>
      </c>
      <c r="J442" s="4">
        <f t="shared" ref="J442" si="249">(J441+1)*(I442+1)-1</f>
        <v>1.7641816801579355</v>
      </c>
      <c r="K442" s="40">
        <f t="shared" ref="K442" si="250">K441*(1+I442)</f>
        <v>276.41816801579404</v>
      </c>
      <c r="L442" s="36"/>
      <c r="M442" s="4">
        <v>5.0700000000000002E-2</v>
      </c>
      <c r="N442" s="4">
        <f t="shared" ref="N442" si="251">(N441+1)*(M442+1)-1</f>
        <v>3.2295069039079696</v>
      </c>
      <c r="O442" s="40">
        <f t="shared" ref="O442" si="252">O441*(1+M442)</f>
        <v>422.95069039079721</v>
      </c>
      <c r="P442" s="36"/>
      <c r="Q442" s="4">
        <v>-2.8E-3</v>
      </c>
      <c r="R442" s="4">
        <f t="shared" ref="R442" si="253">(R441+1)*(Q442+1)-1</f>
        <v>2.0952171204350996</v>
      </c>
      <c r="S442" s="41">
        <f t="shared" ref="S442" si="254">S441*(1+Q442)</f>
        <v>309.52171204351004</v>
      </c>
    </row>
    <row r="443" spans="1:19" ht="13.5" x14ac:dyDescent="0.25">
      <c r="A443" s="2">
        <v>46203</v>
      </c>
      <c r="B443" s="57">
        <v>13435366.689999999</v>
      </c>
      <c r="C443" s="6">
        <v>18</v>
      </c>
      <c r="D443" s="36">
        <f>(1+E441)*(1+E442)*(1+E443)-1</f>
        <v>1.8617488056000164E-2</v>
      </c>
      <c r="E443" s="4">
        <v>1.11E-2</v>
      </c>
      <c r="F443" s="4">
        <f t="shared" ref="F443:F445" si="255">(F442+1)*(E443+1)-1</f>
        <v>1.5297831006086633</v>
      </c>
      <c r="G443" s="40">
        <f t="shared" ref="G443:G445" si="256">G442*(1+E443)</f>
        <v>252.97831006086614</v>
      </c>
      <c r="H443" s="36">
        <f>(1+I441)*(1+I442)*(1+I443)-1</f>
        <v>2.0709082112000177E-2</v>
      </c>
      <c r="I443" s="4">
        <v>1.12E-2</v>
      </c>
      <c r="J443" s="4">
        <f t="shared" ref="J443:J445" si="257">(J442+1)*(I443+1)-1</f>
        <v>1.7951405149757047</v>
      </c>
      <c r="K443" s="40">
        <f t="shared" ref="K443:K445" si="258">K442*(1+I443)</f>
        <v>279.51405149757096</v>
      </c>
      <c r="L443" s="36">
        <f>(1+M441)*(1+M442)*(1+M443)-1</f>
        <v>0.15461833823700011</v>
      </c>
      <c r="M443" s="4">
        <v>-2.8999999999999998E-3</v>
      </c>
      <c r="N443" s="4">
        <f t="shared" ref="N443:N445" si="259">(N442+1)*(M443+1)-1</f>
        <v>3.2172413338866361</v>
      </c>
      <c r="O443" s="40">
        <f t="shared" ref="O443:O445" si="260">O442*(1+M443)</f>
        <v>421.72413338866392</v>
      </c>
      <c r="P443" s="36">
        <f>(1+Q441)*(1+Q442)*(1+Q443)-1</f>
        <v>4.1741254304000108E-2</v>
      </c>
      <c r="Q443" s="4">
        <v>1.7399999999999999E-2</v>
      </c>
      <c r="R443" s="4">
        <f t="shared" ref="R443:R445" si="261">(R442+1)*(Q443+1)-1</f>
        <v>2.1490738983306708</v>
      </c>
      <c r="S443" s="41">
        <f t="shared" ref="S443:S445" si="262">S442*(1+Q443)</f>
        <v>314.90738983306716</v>
      </c>
    </row>
    <row r="444" spans="1:19" ht="13.5" x14ac:dyDescent="0.25">
      <c r="A444" s="2">
        <v>46234</v>
      </c>
      <c r="B444" s="57">
        <v>14215272.6</v>
      </c>
      <c r="C444" s="6">
        <v>18</v>
      </c>
      <c r="D444" s="36"/>
      <c r="E444" s="4">
        <v>5.0599999999999999E-2</v>
      </c>
      <c r="F444" s="4">
        <f t="shared" si="255"/>
        <v>1.6577901254994618</v>
      </c>
      <c r="G444" s="40">
        <f t="shared" si="256"/>
        <v>265.77901254994595</v>
      </c>
      <c r="H444" s="36"/>
      <c r="I444" s="4">
        <v>5.2600000000000001E-2</v>
      </c>
      <c r="J444" s="4">
        <f t="shared" si="257"/>
        <v>1.9421649060634265</v>
      </c>
      <c r="K444" s="40">
        <f t="shared" si="258"/>
        <v>294.2164906063432</v>
      </c>
      <c r="L444" s="36"/>
      <c r="M444" s="4">
        <v>-4.7000000000000002E-3</v>
      </c>
      <c r="N444" s="4">
        <f t="shared" si="259"/>
        <v>3.1974202996173684</v>
      </c>
      <c r="O444" s="40">
        <f t="shared" si="260"/>
        <v>419.74202996173716</v>
      </c>
      <c r="P444" s="36"/>
      <c r="Q444" s="4">
        <v>3.2000000000000001E-2</v>
      </c>
      <c r="R444" s="4">
        <f t="shared" si="261"/>
        <v>2.2498442630772524</v>
      </c>
      <c r="S444" s="41">
        <f t="shared" si="262"/>
        <v>324.9844263077253</v>
      </c>
    </row>
    <row r="445" spans="1:19" ht="13.5" x14ac:dyDescent="0.25">
      <c r="A445" s="2">
        <v>46265</v>
      </c>
      <c r="B445" s="57">
        <v>14271130.76</v>
      </c>
      <c r="C445" s="6">
        <v>18</v>
      </c>
      <c r="D445" s="36"/>
      <c r="E445" s="4">
        <v>2.3199999999999998E-2</v>
      </c>
      <c r="F445" s="4">
        <f t="shared" si="255"/>
        <v>1.7194508564110498</v>
      </c>
      <c r="G445" s="40">
        <f t="shared" si="256"/>
        <v>271.9450856411047</v>
      </c>
      <c r="H445" s="36"/>
      <c r="I445" s="4">
        <v>2.3300000000000001E-2</v>
      </c>
      <c r="J445" s="4">
        <f t="shared" si="257"/>
        <v>2.0107173483747047</v>
      </c>
      <c r="K445" s="40">
        <f t="shared" si="258"/>
        <v>301.07173483747101</v>
      </c>
      <c r="L445" s="36"/>
      <c r="M445" s="4">
        <v>2.7400000000000001E-2</v>
      </c>
      <c r="N445" s="4">
        <f t="shared" si="259"/>
        <v>3.3124296158268844</v>
      </c>
      <c r="O445" s="40">
        <f t="shared" si="260"/>
        <v>431.24296158268879</v>
      </c>
      <c r="P445" s="36"/>
      <c r="Q445" s="4">
        <v>8.0999999999999996E-3</v>
      </c>
      <c r="R445" s="4">
        <f t="shared" si="261"/>
        <v>2.2761680016081782</v>
      </c>
      <c r="S445" s="41">
        <f t="shared" si="262"/>
        <v>327.61680016081789</v>
      </c>
    </row>
    <row r="446" spans="1:19" ht="13.5" x14ac:dyDescent="0.25">
      <c r="A446" s="2">
        <v>46295</v>
      </c>
      <c r="B446" s="57">
        <v>13576356.810000001</v>
      </c>
      <c r="C446" s="6">
        <v>18</v>
      </c>
      <c r="D446" s="36">
        <f>(1+E444)*(1+E445)*(1+E446)-1</f>
        <v>2.3375171840000153E-2</v>
      </c>
      <c r="E446" s="4">
        <v>-4.8000000000000001E-2</v>
      </c>
      <c r="F446" s="4">
        <f t="shared" ref="F446" si="263">(F445+1)*(E446+1)-1</f>
        <v>1.5889172153033191</v>
      </c>
      <c r="G446" s="40">
        <f t="shared" ref="G446" si="264">G445*(1+E446)</f>
        <v>258.89172153033167</v>
      </c>
      <c r="H446" s="36">
        <f>(1+I444)*(1+I445)*(1+I446)-1</f>
        <v>2.542355216000014E-2</v>
      </c>
      <c r="I446" s="4">
        <v>-4.8000000000000001E-2</v>
      </c>
      <c r="J446" s="4">
        <f t="shared" ref="J446" si="265">(J445+1)*(I446+1)-1</f>
        <v>1.8662029156527189</v>
      </c>
      <c r="K446" s="40">
        <f t="shared" ref="K446" si="266">K445*(1+I446)</f>
        <v>286.6202915652724</v>
      </c>
      <c r="L446" s="36">
        <f>(1+M444)*(1+M445)*(1+M446)-1</f>
        <v>1.3981621752000128E-2</v>
      </c>
      <c r="M446" s="4">
        <v>-8.3999999999999995E-3</v>
      </c>
      <c r="N446" s="4">
        <f t="shared" ref="N446" si="267">(N445+1)*(M446+1)-1</f>
        <v>3.2762052070539385</v>
      </c>
      <c r="O446" s="40">
        <f t="shared" ref="O446" si="268">O445*(1+M446)</f>
        <v>427.6205207053942</v>
      </c>
      <c r="P446" s="36">
        <f>(1+Q444)*(1+Q445)*(1+Q446)-1</f>
        <v>-1.8317058880000125E-2</v>
      </c>
      <c r="Q446" s="4">
        <v>-5.6399999999999999E-2</v>
      </c>
      <c r="R446" s="4">
        <f t="shared" ref="R446" si="269">(R445+1)*(Q446+1)-1</f>
        <v>2.0913921263174768</v>
      </c>
      <c r="S446" s="41">
        <f t="shared" ref="S446" si="270">S445*(1+Q446)</f>
        <v>309.13921263174774</v>
      </c>
    </row>
    <row r="447" spans="1:19" ht="13.5" x14ac:dyDescent="0.25">
      <c r="A447" s="2"/>
      <c r="B447" s="3"/>
      <c r="C447" s="6"/>
      <c r="D447" s="36"/>
      <c r="E447" s="4"/>
      <c r="F447" s="4"/>
      <c r="G447" s="4"/>
      <c r="H447" s="35"/>
      <c r="I447" s="4"/>
      <c r="J447" s="4"/>
      <c r="K447" s="12"/>
      <c r="M447" s="4"/>
      <c r="N447" s="4"/>
      <c r="Q447" s="4"/>
      <c r="R447" s="4"/>
    </row>
    <row r="448" spans="1:19" ht="13.5" x14ac:dyDescent="0.25">
      <c r="A448" s="2"/>
      <c r="B448" s="3"/>
      <c r="C448" s="6"/>
      <c r="D448" s="36"/>
      <c r="E448" s="4"/>
      <c r="F448" s="4"/>
      <c r="G448" s="4"/>
      <c r="H448" s="35"/>
      <c r="I448" s="4"/>
      <c r="J448" s="4"/>
      <c r="K448" s="12"/>
      <c r="M448" s="4"/>
      <c r="N448" s="4"/>
      <c r="Q448" s="4"/>
      <c r="R448" s="4"/>
    </row>
    <row r="449" spans="1:18" ht="15" x14ac:dyDescent="0.25">
      <c r="A449" s="11" t="s">
        <v>65</v>
      </c>
      <c r="B449" s="1"/>
      <c r="C449" s="1"/>
      <c r="D449" s="32"/>
      <c r="E449" s="1"/>
      <c r="F449" s="1"/>
      <c r="G449" s="1"/>
      <c r="H449" s="32"/>
      <c r="I449" s="1"/>
      <c r="J449" s="1"/>
      <c r="K449" s="13"/>
      <c r="M449" s="1"/>
      <c r="N449" s="1"/>
      <c r="Q449" s="1"/>
      <c r="R449" s="1"/>
    </row>
    <row r="450" spans="1:18" ht="40.5" x14ac:dyDescent="0.25">
      <c r="A450" s="7" t="s">
        <v>26</v>
      </c>
      <c r="B450" s="7" t="s">
        <v>1</v>
      </c>
      <c r="C450" s="7" t="s">
        <v>2</v>
      </c>
      <c r="D450" s="33" t="s">
        <v>55</v>
      </c>
      <c r="E450" s="7" t="s">
        <v>54</v>
      </c>
      <c r="F450" s="7" t="s">
        <v>5</v>
      </c>
      <c r="G450" s="7" t="s">
        <v>59</v>
      </c>
      <c r="H450" s="33" t="s">
        <v>52</v>
      </c>
      <c r="I450" s="7" t="s">
        <v>53</v>
      </c>
      <c r="J450" s="7" t="s">
        <v>4</v>
      </c>
      <c r="K450" s="14" t="s">
        <v>60</v>
      </c>
      <c r="L450" s="7" t="s">
        <v>57</v>
      </c>
      <c r="M450" s="7" t="s">
        <v>56</v>
      </c>
      <c r="N450" s="7" t="s">
        <v>71</v>
      </c>
      <c r="O450" s="7" t="s">
        <v>70</v>
      </c>
    </row>
    <row r="451" spans="1:18" ht="13.5" x14ac:dyDescent="0.25">
      <c r="A451" s="2">
        <v>43008</v>
      </c>
      <c r="B451" s="49">
        <v>0</v>
      </c>
      <c r="C451" s="6">
        <v>0</v>
      </c>
      <c r="D451" s="37"/>
      <c r="E451" s="4"/>
      <c r="F451" s="20">
        <v>1</v>
      </c>
      <c r="G451" s="41">
        <v>100</v>
      </c>
      <c r="H451" s="34"/>
      <c r="I451" s="4"/>
      <c r="J451" s="20">
        <v>1</v>
      </c>
      <c r="K451" s="41">
        <v>100</v>
      </c>
      <c r="M451" s="4"/>
      <c r="N451" s="20">
        <v>1</v>
      </c>
      <c r="O451" s="41">
        <v>100</v>
      </c>
    </row>
    <row r="452" spans="1:18" ht="13.5" x14ac:dyDescent="0.25">
      <c r="A452" s="2">
        <v>43039</v>
      </c>
      <c r="B452" s="49">
        <v>397763.63</v>
      </c>
      <c r="C452" s="6">
        <v>2</v>
      </c>
      <c r="D452" s="37"/>
      <c r="E452" s="4">
        <v>2.0999999999999999E-3</v>
      </c>
      <c r="F452" s="4">
        <f>(F451)*(E452+1)</f>
        <v>1.0021</v>
      </c>
      <c r="G452" s="41">
        <f>G451*(1+E452)</f>
        <v>100.21</v>
      </c>
      <c r="H452" s="34"/>
      <c r="I452" s="4">
        <v>2.0999999999999999E-3</v>
      </c>
      <c r="J452" s="4">
        <f>(J451)*(I452+1)</f>
        <v>1.0021</v>
      </c>
      <c r="K452" s="41">
        <f>K451*(1+I452)</f>
        <v>100.21</v>
      </c>
      <c r="M452" s="4">
        <v>2.3300000000000001E-2</v>
      </c>
      <c r="N452" s="4">
        <f>(N451)*(M452+1)</f>
        <v>1.0233000000000001</v>
      </c>
      <c r="O452" s="41">
        <f>O451*(1+M452)</f>
        <v>102.33000000000001</v>
      </c>
    </row>
    <row r="453" spans="1:18" ht="13.5" x14ac:dyDescent="0.25">
      <c r="A453" s="2">
        <v>43069</v>
      </c>
      <c r="B453" s="49">
        <v>177212.95</v>
      </c>
      <c r="C453" s="6">
        <v>1</v>
      </c>
      <c r="D453" s="37"/>
      <c r="E453" s="4">
        <v>4.3499999999999997E-2</v>
      </c>
      <c r="F453" s="4">
        <f>(E452+1)*(E453+1)-1</f>
        <v>4.5691350000000019E-2</v>
      </c>
      <c r="G453" s="40">
        <f>G452*(1+E453)</f>
        <v>104.569135</v>
      </c>
      <c r="H453" s="35"/>
      <c r="I453" s="4">
        <v>4.48E-2</v>
      </c>
      <c r="J453" s="4">
        <f>(I452+1)*(I453+1)-1</f>
        <v>4.6994079999999938E-2</v>
      </c>
      <c r="K453" s="40">
        <f>K452*(1+I453)</f>
        <v>104.69940799999999</v>
      </c>
      <c r="M453" s="4">
        <v>3.0700000000000002E-2</v>
      </c>
      <c r="N453" s="4">
        <f>(M452+1)*(M453+1)-1</f>
        <v>5.4715309999999961E-2</v>
      </c>
      <c r="O453" s="40">
        <f>O452*(1+M453)</f>
        <v>105.47153100000001</v>
      </c>
    </row>
    <row r="454" spans="1:18" ht="13.5" x14ac:dyDescent="0.25">
      <c r="A454" s="2">
        <v>43100</v>
      </c>
      <c r="B454" s="49">
        <v>179736</v>
      </c>
      <c r="C454" s="6">
        <v>1</v>
      </c>
      <c r="D454" s="36">
        <f>(1+E452)*(1+E453)*(1+E454)-1</f>
        <v>6.0540167170000103E-2</v>
      </c>
      <c r="E454" s="4">
        <v>1.4200000000000001E-2</v>
      </c>
      <c r="F454" s="4">
        <f t="shared" ref="F454:F463" si="271">(F453+1)*(E454+1)-1</f>
        <v>6.0540167170000103E-2</v>
      </c>
      <c r="G454" s="40">
        <f t="shared" ref="G454:G517" si="272">G453*(1+E454)</f>
        <v>106.054016717</v>
      </c>
      <c r="H454" s="36">
        <f>(1+I452)*(1+I453)*(1+I454)-1</f>
        <v>6.186139593599993E-2</v>
      </c>
      <c r="I454" s="4">
        <v>1.4200000000000001E-2</v>
      </c>
      <c r="J454" s="4">
        <f t="shared" ref="J454:J485" si="273">(J453+1)*(I454+1)-1</f>
        <v>6.186139593599993E-2</v>
      </c>
      <c r="K454" s="40">
        <f t="shared" ref="K454:K517" si="274">K453*(1+I454)</f>
        <v>106.18613959359999</v>
      </c>
      <c r="L454" s="36">
        <f>(1+M452)*(1+M453)*(1+M454)-1</f>
        <v>6.6422649941000111E-2</v>
      </c>
      <c r="M454" s="4">
        <v>1.11E-2</v>
      </c>
      <c r="N454" s="4">
        <f t="shared" ref="N454:N463" si="275">(N453+1)*(M454+1)-1</f>
        <v>6.6422649941000111E-2</v>
      </c>
      <c r="O454" s="40">
        <f t="shared" ref="O454:O517" si="276">O453*(1+M454)</f>
        <v>106.64226499410003</v>
      </c>
    </row>
    <row r="455" spans="1:18" ht="13.5" x14ac:dyDescent="0.25">
      <c r="A455" s="2">
        <v>43131</v>
      </c>
      <c r="B455" s="49">
        <v>616838.51</v>
      </c>
      <c r="C455" s="6">
        <v>3</v>
      </c>
      <c r="D455" s="37"/>
      <c r="E455" s="4">
        <v>2.0199999999999999E-2</v>
      </c>
      <c r="F455" s="4">
        <f t="shared" si="271"/>
        <v>8.1963078546834156E-2</v>
      </c>
      <c r="G455" s="40">
        <f t="shared" si="272"/>
        <v>108.1963078546834</v>
      </c>
      <c r="H455" s="35"/>
      <c r="I455" s="4">
        <v>2.1000000000000001E-2</v>
      </c>
      <c r="J455" s="4">
        <f t="shared" si="273"/>
        <v>8.4160485250655892E-2</v>
      </c>
      <c r="K455" s="40">
        <f t="shared" si="274"/>
        <v>108.41604852506558</v>
      </c>
      <c r="M455" s="4">
        <v>5.2699999999999997E-2</v>
      </c>
      <c r="N455" s="4">
        <f t="shared" si="275"/>
        <v>0.12262312359289074</v>
      </c>
      <c r="O455" s="40">
        <f t="shared" si="276"/>
        <v>112.2623123592891</v>
      </c>
    </row>
    <row r="456" spans="1:18" ht="13.5" x14ac:dyDescent="0.25">
      <c r="A456" s="2">
        <v>43159</v>
      </c>
      <c r="B456" s="49">
        <v>590976.93000000005</v>
      </c>
      <c r="C456" s="6">
        <v>3</v>
      </c>
      <c r="D456" s="37"/>
      <c r="E456" s="4">
        <v>-4.19E-2</v>
      </c>
      <c r="F456" s="4">
        <f t="shared" si="271"/>
        <v>3.6628825555721667E-2</v>
      </c>
      <c r="G456" s="40">
        <f t="shared" si="272"/>
        <v>103.66288255557215</v>
      </c>
      <c r="H456" s="35"/>
      <c r="I456" s="4">
        <v>-4.1599999999999998E-2</v>
      </c>
      <c r="J456" s="4">
        <f t="shared" si="273"/>
        <v>3.9059409064228667E-2</v>
      </c>
      <c r="K456" s="40">
        <f t="shared" si="274"/>
        <v>103.90594090642286</v>
      </c>
      <c r="M456" s="4">
        <v>-3.6900000000000002E-2</v>
      </c>
      <c r="N456" s="4">
        <f t="shared" si="275"/>
        <v>8.119833033231294E-2</v>
      </c>
      <c r="O456" s="40">
        <f t="shared" si="276"/>
        <v>108.11983303323133</v>
      </c>
    </row>
    <row r="457" spans="1:18" ht="13.5" x14ac:dyDescent="0.25">
      <c r="A457" s="2">
        <v>43190</v>
      </c>
      <c r="B457" s="49">
        <v>581949.31000000006</v>
      </c>
      <c r="C457" s="6">
        <v>3</v>
      </c>
      <c r="D457" s="36">
        <f>(1+E455)*(1+E456)*(1+E457)-1</f>
        <v>-3.7599165748000041E-2</v>
      </c>
      <c r="E457" s="4">
        <v>-1.54E-2</v>
      </c>
      <c r="F457" s="4">
        <f t="shared" si="271"/>
        <v>2.0664741642163476E-2</v>
      </c>
      <c r="G457" s="40">
        <f t="shared" si="272"/>
        <v>102.06647416421634</v>
      </c>
      <c r="H457" s="36">
        <f>(1+I455)*(1+I456)*(1+I457)-1</f>
        <v>-3.5466527520000124E-2</v>
      </c>
      <c r="I457" s="4">
        <v>-1.43E-2</v>
      </c>
      <c r="J457" s="4">
        <f t="shared" si="273"/>
        <v>2.4200859514610151E-2</v>
      </c>
      <c r="K457" s="40">
        <f t="shared" si="274"/>
        <v>102.420085951461</v>
      </c>
      <c r="L457" s="36">
        <f>(1+M455)*(1+M456)*(1+M457)-1</f>
        <v>-6.5231229370000809E-3</v>
      </c>
      <c r="M457" s="4">
        <v>-2.01E-2</v>
      </c>
      <c r="N457" s="4">
        <f t="shared" si="275"/>
        <v>5.9466243892633441E-2</v>
      </c>
      <c r="O457" s="40">
        <f t="shared" si="276"/>
        <v>105.94662438926338</v>
      </c>
    </row>
    <row r="458" spans="1:18" ht="13.5" x14ac:dyDescent="0.25">
      <c r="A458" s="2">
        <v>43220</v>
      </c>
      <c r="B458" s="49">
        <v>773543.5</v>
      </c>
      <c r="C458" s="6">
        <v>4</v>
      </c>
      <c r="D458" s="37"/>
      <c r="E458" s="4">
        <v>-7.1999999999999998E-3</v>
      </c>
      <c r="F458" s="4">
        <f t="shared" si="271"/>
        <v>1.3315955502339882E-2</v>
      </c>
      <c r="G458" s="40">
        <f t="shared" si="272"/>
        <v>101.33159555023398</v>
      </c>
      <c r="H458" s="37"/>
      <c r="I458" s="4">
        <v>-6.1000000000000004E-3</v>
      </c>
      <c r="J458" s="4">
        <f t="shared" si="273"/>
        <v>1.7953234271571139E-2</v>
      </c>
      <c r="K458" s="40">
        <f t="shared" si="274"/>
        <v>101.79532342715709</v>
      </c>
      <c r="L458" s="37"/>
      <c r="M458" s="4">
        <v>3.8E-3</v>
      </c>
      <c r="N458" s="4">
        <f t="shared" si="275"/>
        <v>6.3492215619425529E-2</v>
      </c>
      <c r="O458" s="40">
        <f t="shared" si="276"/>
        <v>106.34922156194258</v>
      </c>
    </row>
    <row r="459" spans="1:18" ht="13.5" x14ac:dyDescent="0.25">
      <c r="A459" s="2">
        <v>43251</v>
      </c>
      <c r="B459" s="49">
        <v>781831</v>
      </c>
      <c r="C459" s="6">
        <v>4</v>
      </c>
      <c r="D459" s="37"/>
      <c r="E459" s="4">
        <v>1.0699999999999999E-2</v>
      </c>
      <c r="F459" s="4">
        <f t="shared" si="271"/>
        <v>2.415843622621483E-2</v>
      </c>
      <c r="G459" s="40">
        <f t="shared" si="272"/>
        <v>102.41584362262148</v>
      </c>
      <c r="H459" s="37"/>
      <c r="I459" s="4">
        <v>1.0999999999999999E-2</v>
      </c>
      <c r="J459" s="4">
        <f t="shared" si="273"/>
        <v>2.9150719848558326E-2</v>
      </c>
      <c r="K459" s="40">
        <f t="shared" si="274"/>
        <v>102.9150719848558</v>
      </c>
      <c r="L459" s="37"/>
      <c r="M459" s="4">
        <v>2.41E-2</v>
      </c>
      <c r="N459" s="4">
        <f t="shared" si="275"/>
        <v>8.9122378015853654E-2</v>
      </c>
      <c r="O459" s="40">
        <f t="shared" si="276"/>
        <v>108.91223780158541</v>
      </c>
    </row>
    <row r="460" spans="1:18" ht="13.5" x14ac:dyDescent="0.25">
      <c r="A460" s="2">
        <v>43281</v>
      </c>
      <c r="B460" s="49">
        <v>793674.56</v>
      </c>
      <c r="C460" s="6">
        <v>4</v>
      </c>
      <c r="D460" s="36">
        <f>(1+E458)*(1+E459)*(1+E460)-1</f>
        <v>1.8574646695999952E-2</v>
      </c>
      <c r="E460" s="4">
        <v>1.5100000000000001E-2</v>
      </c>
      <c r="F460" s="4">
        <f t="shared" si="271"/>
        <v>3.9623228613230532E-2</v>
      </c>
      <c r="G460" s="40">
        <f t="shared" si="272"/>
        <v>103.96232286132306</v>
      </c>
      <c r="H460" s="36">
        <f>(1+I458)*(1+I459)*(1+I460)-1</f>
        <v>2.1211676269999868E-2</v>
      </c>
      <c r="I460" s="4">
        <v>1.6299999999999999E-2</v>
      </c>
      <c r="J460" s="4">
        <f t="shared" si="273"/>
        <v>4.5925876582089797E-2</v>
      </c>
      <c r="K460" s="40">
        <f t="shared" si="274"/>
        <v>104.59258765820894</v>
      </c>
      <c r="L460" s="36">
        <f>(1+M458)*(1+M459)*(1+M460)-1</f>
        <v>3.4365127796000206E-2</v>
      </c>
      <c r="M460" s="4">
        <v>6.1999999999999998E-3</v>
      </c>
      <c r="N460" s="4">
        <f t="shared" si="275"/>
        <v>9.5874936759551943E-2</v>
      </c>
      <c r="O460" s="40">
        <f t="shared" si="276"/>
        <v>109.58749367595523</v>
      </c>
    </row>
    <row r="461" spans="1:18" ht="13.5" x14ac:dyDescent="0.25">
      <c r="A461" s="2">
        <v>43312</v>
      </c>
      <c r="B461" s="49">
        <v>819920.76</v>
      </c>
      <c r="C461" s="6">
        <v>4</v>
      </c>
      <c r="D461" s="37"/>
      <c r="E461" s="4">
        <v>3.32E-2</v>
      </c>
      <c r="F461" s="4">
        <f t="shared" si="271"/>
        <v>7.4138719803189757E-2</v>
      </c>
      <c r="G461" s="40">
        <f t="shared" si="272"/>
        <v>107.41387198031897</v>
      </c>
      <c r="H461" s="37"/>
      <c r="I461" s="4">
        <v>3.4200000000000001E-2</v>
      </c>
      <c r="J461" s="4">
        <f t="shared" si="273"/>
        <v>8.1696541561197211E-2</v>
      </c>
      <c r="K461" s="40">
        <f t="shared" si="274"/>
        <v>108.16965415611969</v>
      </c>
      <c r="L461" s="37"/>
      <c r="M461" s="4">
        <v>3.7199999999999997E-2</v>
      </c>
      <c r="N461" s="4">
        <f t="shared" si="275"/>
        <v>0.13664148440700719</v>
      </c>
      <c r="O461" s="40">
        <f t="shared" si="276"/>
        <v>113.66414844070076</v>
      </c>
    </row>
    <row r="462" spans="1:18" ht="13.5" x14ac:dyDescent="0.25">
      <c r="A462" s="2">
        <v>43343</v>
      </c>
      <c r="B462" s="49">
        <v>837677.27</v>
      </c>
      <c r="C462" s="6">
        <v>4</v>
      </c>
      <c r="D462" s="37"/>
      <c r="E462" s="4">
        <v>2.1700000000000001E-2</v>
      </c>
      <c r="F462" s="4">
        <f t="shared" si="271"/>
        <v>9.7447530022918949E-2</v>
      </c>
      <c r="G462" s="40">
        <f t="shared" si="272"/>
        <v>109.7447530022919</v>
      </c>
      <c r="H462" s="37"/>
      <c r="I462" s="4">
        <v>2.1899999999999999E-2</v>
      </c>
      <c r="J462" s="4">
        <f t="shared" si="273"/>
        <v>0.10538569582138746</v>
      </c>
      <c r="K462" s="40">
        <f t="shared" si="274"/>
        <v>110.53856958213872</v>
      </c>
      <c r="L462" s="37"/>
      <c r="M462" s="4">
        <v>3.2599999999999997E-2</v>
      </c>
      <c r="N462" s="4">
        <f t="shared" si="275"/>
        <v>0.17369599679867553</v>
      </c>
      <c r="O462" s="40">
        <f t="shared" si="276"/>
        <v>117.36959967986759</v>
      </c>
    </row>
    <row r="463" spans="1:18" ht="13.5" x14ac:dyDescent="0.25">
      <c r="A463" s="2">
        <v>43373</v>
      </c>
      <c r="B463" s="49">
        <v>840754.51</v>
      </c>
      <c r="C463" s="6">
        <v>4</v>
      </c>
      <c r="D463" s="36">
        <f>(1+E461)*(1+E462)*(1+E463)-1</f>
        <v>5.9526235627999968E-2</v>
      </c>
      <c r="E463" s="4">
        <v>3.7000000000000002E-3</v>
      </c>
      <c r="F463" s="4">
        <f t="shared" si="271"/>
        <v>0.10150808588400384</v>
      </c>
      <c r="G463" s="40">
        <f t="shared" si="272"/>
        <v>110.15080858840038</v>
      </c>
      <c r="H463" s="36">
        <f>(1+I461)*(1+I462)*(1+I463)-1</f>
        <v>6.1921855103999945E-2</v>
      </c>
      <c r="I463" s="4">
        <v>4.7999999999999996E-3</v>
      </c>
      <c r="J463" s="4">
        <f t="shared" si="273"/>
        <v>0.11069154716133012</v>
      </c>
      <c r="K463" s="40">
        <f t="shared" si="274"/>
        <v>111.06915471613297</v>
      </c>
      <c r="L463" s="36">
        <f>(1+M461)*(1+M462)*(1+M463)-1</f>
        <v>7.7117492503999907E-2</v>
      </c>
      <c r="M463" s="4">
        <v>5.7000000000000002E-3</v>
      </c>
      <c r="N463" s="4">
        <f t="shared" si="275"/>
        <v>0.180386063980428</v>
      </c>
      <c r="O463" s="40">
        <f t="shared" si="276"/>
        <v>118.03860639804284</v>
      </c>
    </row>
    <row r="464" spans="1:18" ht="13.5" x14ac:dyDescent="0.25">
      <c r="A464" s="2">
        <v>43404</v>
      </c>
      <c r="B464" s="49">
        <v>816188.2</v>
      </c>
      <c r="C464" s="6">
        <v>4</v>
      </c>
      <c r="D464" s="37"/>
      <c r="E464" s="4">
        <v>-2.92E-2</v>
      </c>
      <c r="F464" s="4">
        <f t="shared" ref="F464:F469" si="277">(F463+1)*(E464+1)-1</f>
        <v>6.9344049776191019E-2</v>
      </c>
      <c r="G464" s="40">
        <f t="shared" si="272"/>
        <v>106.9344049776191</v>
      </c>
      <c r="H464" s="37"/>
      <c r="I464" s="4">
        <v>-2.8199999999999999E-2</v>
      </c>
      <c r="J464" s="4">
        <f t="shared" si="273"/>
        <v>7.9370045531380606E-2</v>
      </c>
      <c r="K464" s="40">
        <f t="shared" si="274"/>
        <v>107.93700455313802</v>
      </c>
      <c r="L464" s="37"/>
      <c r="M464" s="4">
        <v>-6.8400000000000002E-2</v>
      </c>
      <c r="N464" s="4">
        <f t="shared" ref="N464:N469" si="278">(N463+1)*(M464+1)-1</f>
        <v>9.9647657204166684E-2</v>
      </c>
      <c r="O464" s="40">
        <f t="shared" si="276"/>
        <v>109.96476572041671</v>
      </c>
    </row>
    <row r="465" spans="1:15" ht="13.5" x14ac:dyDescent="0.25">
      <c r="A465" s="2">
        <v>43434</v>
      </c>
      <c r="B465" s="49">
        <v>843040.96</v>
      </c>
      <c r="C465" s="6">
        <v>4</v>
      </c>
      <c r="D465" s="37"/>
      <c r="E465" s="4">
        <v>3.2899999999999999E-2</v>
      </c>
      <c r="F465" s="4">
        <f t="shared" si="277"/>
        <v>0.10452546901382753</v>
      </c>
      <c r="G465" s="40">
        <f t="shared" si="272"/>
        <v>110.45254690138276</v>
      </c>
      <c r="H465" s="37"/>
      <c r="I465" s="4">
        <v>3.32E-2</v>
      </c>
      <c r="J465" s="4">
        <f t="shared" si="273"/>
        <v>0.11520513104302244</v>
      </c>
      <c r="K465" s="40">
        <f t="shared" si="274"/>
        <v>111.5205131043022</v>
      </c>
      <c r="L465" s="37"/>
      <c r="M465" s="4">
        <v>2.0400000000000001E-2</v>
      </c>
      <c r="N465" s="4">
        <f t="shared" si="278"/>
        <v>0.12208046941113171</v>
      </c>
      <c r="O465" s="40">
        <f t="shared" si="276"/>
        <v>112.20804694111321</v>
      </c>
    </row>
    <row r="466" spans="1:15" ht="13.5" x14ac:dyDescent="0.25">
      <c r="A466" s="2">
        <v>43465</v>
      </c>
      <c r="B466" s="49">
        <v>784316.34</v>
      </c>
      <c r="C466" s="6">
        <v>4</v>
      </c>
      <c r="D466" s="36">
        <f>(1+E464)*(1+E465)*(1+E466)-1</f>
        <v>-6.71516106040001E-2</v>
      </c>
      <c r="E466" s="4">
        <v>-6.9699999999999998E-2</v>
      </c>
      <c r="F466" s="4">
        <f t="shared" si="277"/>
        <v>2.7540043823563787E-2</v>
      </c>
      <c r="G466" s="40">
        <f t="shared" si="272"/>
        <v>102.75400438235638</v>
      </c>
      <c r="H466" s="36">
        <f>(1+I464)*(1+I465)*(1+I466)-1</f>
        <v>-6.4714607560000026E-2</v>
      </c>
      <c r="I466" s="4">
        <v>-6.8500000000000005E-2</v>
      </c>
      <c r="J466" s="4">
        <f t="shared" si="273"/>
        <v>3.8813579566575385E-2</v>
      </c>
      <c r="K466" s="40">
        <f t="shared" si="274"/>
        <v>103.8813579566575</v>
      </c>
      <c r="L466" s="36">
        <f>(1+M464)*(1+M465)*(1+M466)-1</f>
        <v>-0.135234958992</v>
      </c>
      <c r="M466" s="4">
        <v>-9.0300000000000005E-2</v>
      </c>
      <c r="N466" s="4">
        <f t="shared" si="278"/>
        <v>2.0756603023306397E-2</v>
      </c>
      <c r="O466" s="40">
        <f t="shared" si="276"/>
        <v>102.07566030233068</v>
      </c>
    </row>
    <row r="467" spans="1:15" ht="13.5" x14ac:dyDescent="0.25">
      <c r="A467" s="2">
        <v>43496</v>
      </c>
      <c r="B467" s="49">
        <v>828852.28</v>
      </c>
      <c r="C467" s="6">
        <v>4</v>
      </c>
      <c r="D467" s="37"/>
      <c r="E467" s="4">
        <v>5.6800000000000003E-2</v>
      </c>
      <c r="F467" s="4">
        <f t="shared" si="277"/>
        <v>8.5904318312742145E-2</v>
      </c>
      <c r="G467" s="40">
        <f t="shared" si="272"/>
        <v>108.59043183127423</v>
      </c>
      <c r="H467" s="37"/>
      <c r="I467" s="4">
        <v>5.7799999999999997E-2</v>
      </c>
      <c r="J467" s="4">
        <f t="shared" si="273"/>
        <v>9.8857004465523479E-2</v>
      </c>
      <c r="K467" s="40">
        <f t="shared" si="274"/>
        <v>109.88570044655231</v>
      </c>
      <c r="L467" s="37"/>
      <c r="M467" s="4">
        <v>8.0100000000000005E-2</v>
      </c>
      <c r="N467" s="4">
        <f t="shared" si="278"/>
        <v>0.10251920692547323</v>
      </c>
      <c r="O467" s="40">
        <f t="shared" si="276"/>
        <v>110.25192069254737</v>
      </c>
    </row>
    <row r="468" spans="1:15" ht="13.5" x14ac:dyDescent="0.25">
      <c r="A468" s="2">
        <v>43524</v>
      </c>
      <c r="B468" s="49">
        <v>856176.31</v>
      </c>
      <c r="C468" s="6">
        <v>4</v>
      </c>
      <c r="D468" s="37"/>
      <c r="E468" s="4">
        <v>3.3000000000000002E-2</v>
      </c>
      <c r="F468" s="4">
        <f t="shared" si="277"/>
        <v>0.1217391608170626</v>
      </c>
      <c r="G468" s="40">
        <f t="shared" si="272"/>
        <v>112.17391608170627</v>
      </c>
      <c r="H468" s="37"/>
      <c r="I468" s="4">
        <v>3.32E-2</v>
      </c>
      <c r="J468" s="4">
        <f t="shared" si="273"/>
        <v>0.13533905701377869</v>
      </c>
      <c r="K468" s="40">
        <f t="shared" si="274"/>
        <v>113.53390570137783</v>
      </c>
      <c r="L468" s="37"/>
      <c r="M468" s="4">
        <v>3.2099999999999997E-2</v>
      </c>
      <c r="N468" s="4">
        <f t="shared" si="278"/>
        <v>0.13791007346778095</v>
      </c>
      <c r="O468" s="40">
        <f t="shared" si="276"/>
        <v>113.79100734677814</v>
      </c>
    </row>
    <row r="469" spans="1:15" ht="13.5" x14ac:dyDescent="0.25">
      <c r="A469" s="2">
        <v>43555</v>
      </c>
      <c r="B469" s="49">
        <v>867179.75</v>
      </c>
      <c r="C469" s="6">
        <v>4</v>
      </c>
      <c r="D469" s="36">
        <f>(1+E467)*(1+E468)*(1+E469)-1</f>
        <v>0.10575699975999964</v>
      </c>
      <c r="E469" s="4">
        <v>1.29E-2</v>
      </c>
      <c r="F469" s="4">
        <f t="shared" si="277"/>
        <v>0.13620959599160254</v>
      </c>
      <c r="G469" s="40">
        <f t="shared" si="272"/>
        <v>113.62095959916027</v>
      </c>
      <c r="H469" s="36">
        <f>(1+I467)*(1+I468)*(1+I469)-1</f>
        <v>0.10821982543999997</v>
      </c>
      <c r="I469" s="4">
        <v>1.4E-2</v>
      </c>
      <c r="J469" s="4">
        <f t="shared" si="273"/>
        <v>0.1512338038119716</v>
      </c>
      <c r="K469" s="40">
        <f t="shared" si="274"/>
        <v>115.12338038119712</v>
      </c>
      <c r="L469" s="36">
        <f>(1+M467)*(1+M468)*(1+M469)-1</f>
        <v>0.13639777147400012</v>
      </c>
      <c r="M469" s="4">
        <v>1.9400000000000001E-2</v>
      </c>
      <c r="N469" s="4">
        <f t="shared" si="278"/>
        <v>0.15998552889305606</v>
      </c>
      <c r="O469" s="40">
        <f t="shared" si="276"/>
        <v>115.99855288930566</v>
      </c>
    </row>
    <row r="470" spans="1:15" ht="13.5" x14ac:dyDescent="0.25">
      <c r="A470" s="2">
        <v>43585</v>
      </c>
      <c r="B470" s="49">
        <v>900993.71</v>
      </c>
      <c r="C470" s="6">
        <v>4</v>
      </c>
      <c r="D470" s="37"/>
      <c r="E470" s="4">
        <v>3.9E-2</v>
      </c>
      <c r="F470" s="4">
        <f t="shared" ref="F470:F475" si="279">(F469+1)*(E470+1)-1</f>
        <v>0.18052177023527505</v>
      </c>
      <c r="G470" s="40">
        <f t="shared" si="272"/>
        <v>118.05217702352752</v>
      </c>
      <c r="H470" s="37"/>
      <c r="I470" s="4">
        <v>0.04</v>
      </c>
      <c r="J470" s="4">
        <f t="shared" si="273"/>
        <v>0.19728315596445056</v>
      </c>
      <c r="K470" s="40">
        <f t="shared" si="274"/>
        <v>119.72831559644501</v>
      </c>
      <c r="L470" s="37"/>
      <c r="M470" s="4">
        <v>4.0500000000000001E-2</v>
      </c>
      <c r="N470" s="4">
        <f t="shared" ref="N470:N475" si="280">(N469+1)*(M470+1)-1</f>
        <v>0.20696494281322475</v>
      </c>
      <c r="O470" s="40">
        <f t="shared" si="276"/>
        <v>120.69649428132253</v>
      </c>
    </row>
    <row r="471" spans="1:15" ht="13.5" x14ac:dyDescent="0.25">
      <c r="A471" s="2">
        <v>43616</v>
      </c>
      <c r="B471" s="49">
        <v>851308.69</v>
      </c>
      <c r="C471" s="6">
        <v>4</v>
      </c>
      <c r="D471" s="37"/>
      <c r="E471" s="4">
        <v>-5.5100000000000003E-2</v>
      </c>
      <c r="F471" s="4">
        <f t="shared" si="279"/>
        <v>0.11547502069531124</v>
      </c>
      <c r="G471" s="40">
        <f t="shared" si="272"/>
        <v>111.54750206953115</v>
      </c>
      <c r="H471" s="37"/>
      <c r="I471" s="4">
        <v>-5.4899999999999997E-2</v>
      </c>
      <c r="J471" s="4">
        <f t="shared" si="273"/>
        <v>0.13155231070200224</v>
      </c>
      <c r="K471" s="40">
        <f t="shared" si="274"/>
        <v>113.15523107020019</v>
      </c>
      <c r="L471" s="37"/>
      <c r="M471" s="4">
        <v>-6.3500000000000001E-2</v>
      </c>
      <c r="N471" s="4">
        <f t="shared" si="280"/>
        <v>0.13032266894458489</v>
      </c>
      <c r="O471" s="40">
        <f t="shared" si="276"/>
        <v>113.03226689445854</v>
      </c>
    </row>
    <row r="472" spans="1:15" ht="13.5" x14ac:dyDescent="0.25">
      <c r="A472" s="2">
        <v>43646</v>
      </c>
      <c r="B472" s="49">
        <v>903642.02</v>
      </c>
      <c r="C472" s="6">
        <v>4</v>
      </c>
      <c r="D472" s="36">
        <f>(1+E470)*(1+E471)*(1+E472)-1</f>
        <v>4.2128792650000024E-2</v>
      </c>
      <c r="E472" s="4">
        <v>6.1499999999999999E-2</v>
      </c>
      <c r="F472" s="4">
        <f t="shared" si="279"/>
        <v>0.18407673446807293</v>
      </c>
      <c r="G472" s="40">
        <f t="shared" si="272"/>
        <v>118.40767344680732</v>
      </c>
      <c r="H472" s="36">
        <f>(1+I470)*(1+I471)*(1+I472)-1</f>
        <v>4.4335500000000083E-2</v>
      </c>
      <c r="I472" s="4">
        <v>6.25E-2</v>
      </c>
      <c r="J472" s="4">
        <f t="shared" si="273"/>
        <v>0.20227433012087737</v>
      </c>
      <c r="K472" s="40">
        <f t="shared" si="274"/>
        <v>120.2274330120877</v>
      </c>
      <c r="L472" s="36">
        <f>(1+M470)*(1+M471)*(1+M472)-1</f>
        <v>4.3125441624999983E-2</v>
      </c>
      <c r="M472" s="4">
        <v>7.0499999999999993E-2</v>
      </c>
      <c r="N472" s="4">
        <f t="shared" si="280"/>
        <v>0.2100104171051782</v>
      </c>
      <c r="O472" s="40">
        <f t="shared" si="276"/>
        <v>121.00104171051787</v>
      </c>
    </row>
    <row r="473" spans="1:15" ht="13.5" x14ac:dyDescent="0.25">
      <c r="A473" s="2">
        <v>43677</v>
      </c>
      <c r="B473" s="49">
        <v>913169.9</v>
      </c>
      <c r="C473" s="6">
        <v>4</v>
      </c>
      <c r="D473" s="37"/>
      <c r="E473" s="4">
        <v>1.0500000000000001E-2</v>
      </c>
      <c r="F473" s="4">
        <f t="shared" si="279"/>
        <v>0.19650954017998767</v>
      </c>
      <c r="G473" s="40">
        <f t="shared" si="272"/>
        <v>119.6509540179988</v>
      </c>
      <c r="H473" s="37"/>
      <c r="I473" s="4">
        <v>1.1599999999999999E-2</v>
      </c>
      <c r="J473" s="4">
        <f t="shared" si="273"/>
        <v>0.21622071235027951</v>
      </c>
      <c r="K473" s="40">
        <f t="shared" si="274"/>
        <v>121.62207123502793</v>
      </c>
      <c r="L473" s="37"/>
      <c r="M473" s="4">
        <v>1.44E-2</v>
      </c>
      <c r="N473" s="4">
        <f t="shared" si="280"/>
        <v>0.22743456711149279</v>
      </c>
      <c r="O473" s="40">
        <f t="shared" si="276"/>
        <v>122.74345671114932</v>
      </c>
    </row>
    <row r="474" spans="1:15" ht="13.5" x14ac:dyDescent="0.25">
      <c r="A474" s="2">
        <v>43708</v>
      </c>
      <c r="B474" s="49">
        <v>928063.89</v>
      </c>
      <c r="C474" s="6">
        <v>4</v>
      </c>
      <c r="D474" s="37"/>
      <c r="E474" s="4">
        <v>-5.0000000000000001E-3</v>
      </c>
      <c r="F474" s="4">
        <f t="shared" si="279"/>
        <v>0.19052699247908778</v>
      </c>
      <c r="G474" s="40">
        <f t="shared" si="272"/>
        <v>119.05269924790881</v>
      </c>
      <c r="H474" s="37"/>
      <c r="I474" s="4">
        <v>-4.7000000000000002E-3</v>
      </c>
      <c r="J474" s="4">
        <f t="shared" si="273"/>
        <v>0.21050447500223313</v>
      </c>
      <c r="K474" s="40">
        <f t="shared" si="274"/>
        <v>121.0504475002233</v>
      </c>
      <c r="L474" s="37"/>
      <c r="M474" s="4">
        <v>-1.5800000000000002E-2</v>
      </c>
      <c r="N474" s="4">
        <f t="shared" si="280"/>
        <v>0.20804110095113115</v>
      </c>
      <c r="O474" s="40">
        <f t="shared" si="276"/>
        <v>120.80411009511316</v>
      </c>
    </row>
    <row r="475" spans="1:15" ht="13.5" x14ac:dyDescent="0.25">
      <c r="A475" s="2">
        <v>43738</v>
      </c>
      <c r="B475" s="49">
        <v>950176.81</v>
      </c>
      <c r="C475" s="6">
        <v>4</v>
      </c>
      <c r="D475" s="36">
        <f>(1+E473)*(1+E474)*(1+E475)-1</f>
        <v>2.9377150500000004E-2</v>
      </c>
      <c r="E475" s="4">
        <v>2.3800000000000002E-2</v>
      </c>
      <c r="F475" s="4">
        <f t="shared" si="279"/>
        <v>0.21886153490009019</v>
      </c>
      <c r="G475" s="40">
        <f t="shared" si="272"/>
        <v>121.88615349000904</v>
      </c>
      <c r="H475" s="36">
        <f>(1+I473)*(1+I474)*(1+I475)-1</f>
        <v>3.1915932451999973E-2</v>
      </c>
      <c r="I475" s="4">
        <v>2.4899999999999999E-2</v>
      </c>
      <c r="J475" s="4">
        <f t="shared" si="273"/>
        <v>0.24064603642978866</v>
      </c>
      <c r="K475" s="40">
        <f t="shared" si="274"/>
        <v>124.06460364297885</v>
      </c>
      <c r="L475" s="36">
        <f>(1+M473)*(1+M474)*(1+M475)-1</f>
        <v>1.7042045375999848E-2</v>
      </c>
      <c r="M475" s="4">
        <v>1.8700000000000001E-2</v>
      </c>
      <c r="N475" s="4">
        <f t="shared" si="280"/>
        <v>0.23063146953891733</v>
      </c>
      <c r="O475" s="40">
        <f t="shared" si="276"/>
        <v>123.06314695389177</v>
      </c>
    </row>
    <row r="476" spans="1:15" ht="13.5" x14ac:dyDescent="0.25">
      <c r="A476" s="2">
        <v>43769</v>
      </c>
      <c r="B476" s="49">
        <v>955893.7</v>
      </c>
      <c r="C476" s="6">
        <v>4</v>
      </c>
      <c r="D476" s="37"/>
      <c r="E476" s="4">
        <v>6.0000000000000001E-3</v>
      </c>
      <c r="F476" s="4">
        <f t="shared" ref="F476:F481" si="281">(F475+1)*(E476+1)-1</f>
        <v>0.22617470410949081</v>
      </c>
      <c r="G476" s="40">
        <f t="shared" si="272"/>
        <v>122.6174704109491</v>
      </c>
      <c r="H476" s="37"/>
      <c r="I476" s="4">
        <v>7.1000000000000004E-3</v>
      </c>
      <c r="J476" s="4">
        <f t="shared" si="273"/>
        <v>0.24945462328844026</v>
      </c>
      <c r="K476" s="40">
        <f t="shared" si="274"/>
        <v>124.94546232884402</v>
      </c>
      <c r="L476" s="37"/>
      <c r="M476" s="4">
        <v>2.1700000000000001E-2</v>
      </c>
      <c r="N476" s="4">
        <f t="shared" ref="N476:N481" si="282">(N475+1)*(M476+1)-1</f>
        <v>0.25733617242791196</v>
      </c>
      <c r="O476" s="40">
        <f t="shared" si="276"/>
        <v>125.73361724279123</v>
      </c>
    </row>
    <row r="477" spans="1:15" ht="13.5" x14ac:dyDescent="0.25">
      <c r="A477" s="2">
        <v>43799</v>
      </c>
      <c r="B477" s="49">
        <v>965426.66</v>
      </c>
      <c r="C477" s="6">
        <v>4</v>
      </c>
      <c r="D477" s="37"/>
      <c r="E477" s="4">
        <v>0.01</v>
      </c>
      <c r="F477" s="4">
        <f t="shared" si="281"/>
        <v>0.23843645115058565</v>
      </c>
      <c r="G477" s="40">
        <f t="shared" si="272"/>
        <v>123.84364511505859</v>
      </c>
      <c r="H477" s="37"/>
      <c r="I477" s="4">
        <v>1.0200000000000001E-2</v>
      </c>
      <c r="J477" s="4">
        <f t="shared" si="273"/>
        <v>0.26219906044598229</v>
      </c>
      <c r="K477" s="40">
        <f t="shared" si="274"/>
        <v>126.21990604459822</v>
      </c>
      <c r="L477" s="37"/>
      <c r="M477" s="4">
        <v>3.6299999999999999E-2</v>
      </c>
      <c r="N477" s="4">
        <f t="shared" si="282"/>
        <v>0.30297747548704512</v>
      </c>
      <c r="O477" s="40">
        <f t="shared" si="276"/>
        <v>130.29774754870454</v>
      </c>
    </row>
    <row r="478" spans="1:15" ht="13.5" x14ac:dyDescent="0.25">
      <c r="A478" s="2">
        <v>43830</v>
      </c>
      <c r="B478" s="49">
        <v>996552.78</v>
      </c>
      <c r="C478" s="6">
        <v>4</v>
      </c>
      <c r="D478" s="36">
        <f>(1+E476)*(1+E477)*(1+E478)-1</f>
        <v>4.877713199999989E-2</v>
      </c>
      <c r="E478" s="4">
        <v>3.2199999999999999E-2</v>
      </c>
      <c r="F478" s="4">
        <f t="shared" si="281"/>
        <v>0.27831410487763453</v>
      </c>
      <c r="G478" s="40">
        <f t="shared" si="272"/>
        <v>127.83141048776348</v>
      </c>
      <c r="H478" s="36">
        <f>(1+I476)*(1+I477)*(1+I478)-1</f>
        <v>5.1250921586000198E-2</v>
      </c>
      <c r="I478" s="4">
        <v>3.3300000000000003E-2</v>
      </c>
      <c r="J478" s="4">
        <f t="shared" si="273"/>
        <v>0.30423028915883354</v>
      </c>
      <c r="K478" s="40">
        <f t="shared" si="274"/>
        <v>130.42302891588335</v>
      </c>
      <c r="L478" s="36">
        <f>(1+M476)*(1+M477)*(1+M478)-1</f>
        <v>9.0763098842000067E-2</v>
      </c>
      <c r="M478" s="4">
        <v>3.0200000000000001E-2</v>
      </c>
      <c r="N478" s="4">
        <f t="shared" si="282"/>
        <v>0.34232739524675382</v>
      </c>
      <c r="O478" s="40">
        <f t="shared" si="276"/>
        <v>134.23273952467542</v>
      </c>
    </row>
    <row r="479" spans="1:15" ht="13.5" x14ac:dyDescent="0.25">
      <c r="A479" s="2">
        <v>43861</v>
      </c>
      <c r="B479" s="49">
        <v>980125.49</v>
      </c>
      <c r="C479" s="6">
        <v>4</v>
      </c>
      <c r="D479" s="37"/>
      <c r="E479" s="4">
        <v>-1.6500000000000001E-2</v>
      </c>
      <c r="F479" s="4">
        <f t="shared" si="281"/>
        <v>0.25722192214715367</v>
      </c>
      <c r="G479" s="40">
        <f t="shared" si="272"/>
        <v>125.72219221471539</v>
      </c>
      <c r="H479" s="37"/>
      <c r="I479" s="4">
        <v>-1.55E-2</v>
      </c>
      <c r="J479" s="4">
        <f t="shared" si="273"/>
        <v>0.28401471967687164</v>
      </c>
      <c r="K479" s="40">
        <f t="shared" si="274"/>
        <v>128.40147196768717</v>
      </c>
      <c r="L479" s="37"/>
      <c r="M479" s="4">
        <v>-4.0000000000000002E-4</v>
      </c>
      <c r="N479" s="4">
        <f t="shared" si="282"/>
        <v>0.34179046428865512</v>
      </c>
      <c r="O479" s="40">
        <f t="shared" si="276"/>
        <v>134.17904642886555</v>
      </c>
    </row>
    <row r="480" spans="1:15" ht="13.5" x14ac:dyDescent="0.25">
      <c r="A480" s="2">
        <v>43890</v>
      </c>
      <c r="B480" s="49">
        <v>901954.68</v>
      </c>
      <c r="C480" s="6">
        <v>4</v>
      </c>
      <c r="D480" s="37"/>
      <c r="E480" s="4">
        <v>-7.9799999999999996E-2</v>
      </c>
      <c r="F480" s="4">
        <f t="shared" si="281"/>
        <v>0.1568956127598109</v>
      </c>
      <c r="G480" s="40">
        <f t="shared" si="272"/>
        <v>115.68956127598111</v>
      </c>
      <c r="H480" s="37"/>
      <c r="I480" s="4">
        <v>-7.9799999999999996E-2</v>
      </c>
      <c r="J480" s="4">
        <f t="shared" si="273"/>
        <v>0.18155034504665735</v>
      </c>
      <c r="K480" s="40">
        <f t="shared" si="274"/>
        <v>118.15503450466574</v>
      </c>
      <c r="L480" s="37"/>
      <c r="M480" s="4">
        <v>-8.2299999999999998E-2</v>
      </c>
      <c r="N480" s="4">
        <f t="shared" si="282"/>
        <v>0.2313611090776988</v>
      </c>
      <c r="O480" s="40">
        <f t="shared" si="276"/>
        <v>123.1361109077699</v>
      </c>
    </row>
    <row r="481" spans="1:15" ht="13.5" x14ac:dyDescent="0.25">
      <c r="A481" s="2">
        <v>43921</v>
      </c>
      <c r="B481" s="49">
        <v>795567.57</v>
      </c>
      <c r="C481" s="6">
        <v>4</v>
      </c>
      <c r="D481" s="36">
        <f>(1+E479)*(1+E480)*(1+E481)-1</f>
        <v>-0.2017752706</v>
      </c>
      <c r="E481" s="4">
        <v>-0.11799999999999999</v>
      </c>
      <c r="F481" s="4">
        <f t="shared" si="281"/>
        <v>2.0381930454153263E-2</v>
      </c>
      <c r="G481" s="40">
        <f t="shared" si="272"/>
        <v>102.03819304541534</v>
      </c>
      <c r="H481" s="36">
        <f>(1+I479)*(1+I480)*(1+I481)-1</f>
        <v>-0.20014831098999997</v>
      </c>
      <c r="I481" s="4">
        <v>-0.1171</v>
      </c>
      <c r="J481" s="4">
        <f t="shared" si="273"/>
        <v>4.3190799641693811E-2</v>
      </c>
      <c r="K481" s="40">
        <f t="shared" si="274"/>
        <v>104.31907996416938</v>
      </c>
      <c r="L481" s="36">
        <f>(1+M479)*(1+M480)*(1+M481)-1</f>
        <v>-0.19595769561999998</v>
      </c>
      <c r="M481" s="4">
        <v>-0.1235</v>
      </c>
      <c r="N481" s="4">
        <f t="shared" si="282"/>
        <v>7.9288012106603079E-2</v>
      </c>
      <c r="O481" s="40">
        <f t="shared" si="276"/>
        <v>107.92880121066032</v>
      </c>
    </row>
    <row r="482" spans="1:15" ht="13.5" x14ac:dyDescent="0.25">
      <c r="A482" s="2">
        <v>43951</v>
      </c>
      <c r="B482" s="49">
        <v>1114830.96</v>
      </c>
      <c r="C482" s="6">
        <v>5</v>
      </c>
      <c r="D482" s="37"/>
      <c r="E482" s="4">
        <v>9.4399999999999998E-2</v>
      </c>
      <c r="F482" s="4">
        <f t="shared" ref="F482:F487" si="283">(F481+1)*(E482+1)-1</f>
        <v>0.11670598468902527</v>
      </c>
      <c r="G482" s="40">
        <f t="shared" si="272"/>
        <v>111.67059846890255</v>
      </c>
      <c r="H482" s="37"/>
      <c r="I482" s="4">
        <v>9.5699999999999993E-2</v>
      </c>
      <c r="J482" s="4">
        <f t="shared" si="273"/>
        <v>0.14302415916740374</v>
      </c>
      <c r="K482" s="40">
        <f t="shared" si="274"/>
        <v>114.30241591674037</v>
      </c>
      <c r="L482" s="37"/>
      <c r="M482" s="4">
        <v>0.12820000000000001</v>
      </c>
      <c r="N482" s="4">
        <f t="shared" ref="N482:N487" si="284">(N481+1)*(M482+1)-1</f>
        <v>0.21765273525866968</v>
      </c>
      <c r="O482" s="40">
        <f t="shared" si="276"/>
        <v>121.76527352586699</v>
      </c>
    </row>
    <row r="483" spans="1:15" ht="13.5" x14ac:dyDescent="0.25">
      <c r="A483" s="2">
        <v>43982</v>
      </c>
      <c r="B483" s="49">
        <v>1551756.19</v>
      </c>
      <c r="C483" s="6">
        <v>6</v>
      </c>
      <c r="D483" s="37"/>
      <c r="E483" s="4">
        <v>3.27E-2</v>
      </c>
      <c r="F483" s="4">
        <f t="shared" si="283"/>
        <v>0.15322227038835634</v>
      </c>
      <c r="G483" s="40">
        <f t="shared" si="272"/>
        <v>115.32222703883566</v>
      </c>
      <c r="H483" s="37"/>
      <c r="I483" s="4">
        <v>3.2899999999999999E-2</v>
      </c>
      <c r="J483" s="4">
        <f t="shared" si="273"/>
        <v>0.18062965400401132</v>
      </c>
      <c r="K483" s="40">
        <f t="shared" si="274"/>
        <v>118.06296540040113</v>
      </c>
      <c r="L483" s="37"/>
      <c r="M483" s="4">
        <v>4.7600000000000003E-2</v>
      </c>
      <c r="N483" s="4">
        <f t="shared" si="284"/>
        <v>0.27561300545698253</v>
      </c>
      <c r="O483" s="40">
        <f t="shared" si="276"/>
        <v>127.56130054569827</v>
      </c>
    </row>
    <row r="484" spans="1:15" ht="13.5" x14ac:dyDescent="0.25">
      <c r="A484" s="2">
        <v>44012</v>
      </c>
      <c r="B484" s="49">
        <v>1587713.56</v>
      </c>
      <c r="C484" s="6">
        <v>6</v>
      </c>
      <c r="D484" s="36">
        <f>(1+E482)*(1+E483)*(1+E484)-1</f>
        <v>0.15414684185599992</v>
      </c>
      <c r="E484" s="4">
        <v>2.12E-2</v>
      </c>
      <c r="F484" s="4">
        <f t="shared" si="283"/>
        <v>0.17767058252058954</v>
      </c>
      <c r="G484" s="40">
        <f t="shared" si="272"/>
        <v>117.76705825205899</v>
      </c>
      <c r="H484" s="36">
        <f>(1+I482)*(1+I483)*(1+I484)-1</f>
        <v>0.15664699765999979</v>
      </c>
      <c r="I484" s="4">
        <v>2.1999999999999999E-2</v>
      </c>
      <c r="J484" s="4">
        <f t="shared" si="273"/>
        <v>0.20660350639209968</v>
      </c>
      <c r="K484" s="40">
        <f t="shared" si="274"/>
        <v>120.66035063920995</v>
      </c>
      <c r="L484" s="36">
        <f>(1+M482)*(1+M483)*(1+M484)-1</f>
        <v>0.2054221761680004</v>
      </c>
      <c r="M484" s="4">
        <v>1.9900000000000001E-2</v>
      </c>
      <c r="N484" s="4">
        <f t="shared" si="284"/>
        <v>0.30099770426557648</v>
      </c>
      <c r="O484" s="40">
        <f t="shared" si="276"/>
        <v>130.09977042655768</v>
      </c>
    </row>
    <row r="485" spans="1:15" ht="13.5" x14ac:dyDescent="0.25">
      <c r="A485" s="2">
        <v>44043</v>
      </c>
      <c r="B485" s="49">
        <v>1636603.79</v>
      </c>
      <c r="C485" s="6">
        <v>6</v>
      </c>
      <c r="D485" s="37"/>
      <c r="E485" s="4">
        <v>3.27E-2</v>
      </c>
      <c r="F485" s="4">
        <f t="shared" si="283"/>
        <v>0.21618041056901283</v>
      </c>
      <c r="G485" s="40">
        <f t="shared" si="272"/>
        <v>121.6180410569013</v>
      </c>
      <c r="H485" s="37"/>
      <c r="I485" s="4">
        <v>3.4200000000000001E-2</v>
      </c>
      <c r="J485" s="4">
        <f t="shared" si="273"/>
        <v>0.24786934631070956</v>
      </c>
      <c r="K485" s="40">
        <f t="shared" si="274"/>
        <v>124.78693463107093</v>
      </c>
      <c r="L485" s="37"/>
      <c r="M485" s="4">
        <v>5.6399999999999999E-2</v>
      </c>
      <c r="N485" s="4">
        <f t="shared" si="284"/>
        <v>0.37437397478615497</v>
      </c>
      <c r="O485" s="40">
        <f t="shared" si="276"/>
        <v>137.43739747861554</v>
      </c>
    </row>
    <row r="486" spans="1:15" ht="13.5" x14ac:dyDescent="0.25">
      <c r="A486" s="2">
        <v>44074</v>
      </c>
      <c r="B486" s="49">
        <v>2140071.7799999998</v>
      </c>
      <c r="C486" s="6">
        <v>7</v>
      </c>
      <c r="D486" s="37"/>
      <c r="E486" s="4">
        <v>2.7900000000000001E-2</v>
      </c>
      <c r="F486" s="4">
        <f t="shared" si="283"/>
        <v>0.25011184402388831</v>
      </c>
      <c r="G486" s="40">
        <f t="shared" si="272"/>
        <v>125.01118440238885</v>
      </c>
      <c r="H486" s="37"/>
      <c r="I486" s="4">
        <v>2.86E-2</v>
      </c>
      <c r="J486" s="4">
        <f t="shared" ref="J486:J517" si="285">(J485+1)*(I486+1)-1</f>
        <v>0.28355840961519574</v>
      </c>
      <c r="K486" s="40">
        <f t="shared" si="274"/>
        <v>128.35584096151956</v>
      </c>
      <c r="L486" s="37"/>
      <c r="M486" s="4">
        <v>7.1900000000000006E-2</v>
      </c>
      <c r="N486" s="4">
        <f t="shared" si="284"/>
        <v>0.47319146357327968</v>
      </c>
      <c r="O486" s="40">
        <f t="shared" si="276"/>
        <v>147.31914635732801</v>
      </c>
    </row>
    <row r="487" spans="1:15" ht="13.5" x14ac:dyDescent="0.25">
      <c r="A487" s="2">
        <v>44104</v>
      </c>
      <c r="B487" s="49">
        <v>2322352.96</v>
      </c>
      <c r="C487" s="6">
        <v>8</v>
      </c>
      <c r="D487" s="36">
        <f>(1+E485)*(1+E486)*(1+E487)-1</f>
        <v>5.1003357933000038E-2</v>
      </c>
      <c r="E487" s="4">
        <v>-9.9000000000000008E-3</v>
      </c>
      <c r="F487" s="4">
        <f t="shared" si="283"/>
        <v>0.23773573676805171</v>
      </c>
      <c r="G487" s="40">
        <f t="shared" si="272"/>
        <v>123.7735736768052</v>
      </c>
      <c r="H487" s="36">
        <f>(1+I485)*(1+I486)*(1+I487)-1</f>
        <v>5.3778605671999991E-2</v>
      </c>
      <c r="I487" s="4">
        <v>-9.4000000000000004E-3</v>
      </c>
      <c r="J487" s="4">
        <f t="shared" si="285"/>
        <v>0.27149296056481287</v>
      </c>
      <c r="K487" s="40">
        <f t="shared" si="274"/>
        <v>127.14929605648128</v>
      </c>
      <c r="L487" s="36">
        <f>(1+M485)*(1+M486)*(1+M487)-1</f>
        <v>8.9325663920000187E-2</v>
      </c>
      <c r="M487" s="4">
        <v>-3.7999999999999999E-2</v>
      </c>
      <c r="N487" s="4">
        <f t="shared" si="284"/>
        <v>0.41721018795749498</v>
      </c>
      <c r="O487" s="40">
        <f t="shared" si="276"/>
        <v>141.72101879574953</v>
      </c>
    </row>
    <row r="488" spans="1:15" ht="13.5" x14ac:dyDescent="0.25">
      <c r="A488" s="2">
        <v>44135</v>
      </c>
      <c r="B488" s="49">
        <v>2271913.29</v>
      </c>
      <c r="C488" s="6">
        <v>8</v>
      </c>
      <c r="D488" s="37"/>
      <c r="E488" s="4">
        <v>-2.1700000000000001E-2</v>
      </c>
      <c r="F488" s="4">
        <f t="shared" ref="F488:F493" si="286">(F487+1)*(E488+1)-1</f>
        <v>0.21087687128018495</v>
      </c>
      <c r="G488" s="40">
        <f t="shared" si="272"/>
        <v>121.08768712801852</v>
      </c>
      <c r="H488" s="37"/>
      <c r="I488" s="4">
        <v>-2.06E-2</v>
      </c>
      <c r="J488" s="4">
        <f t="shared" si="285"/>
        <v>0.2453002055771778</v>
      </c>
      <c r="K488" s="40">
        <f t="shared" si="274"/>
        <v>124.53002055771776</v>
      </c>
      <c r="L488" s="37"/>
      <c r="M488" s="4">
        <v>-2.6599999999999999E-2</v>
      </c>
      <c r="N488" s="4">
        <f t="shared" ref="N488:N493" si="287">(N487+1)*(M488+1)-1</f>
        <v>0.37951239695782557</v>
      </c>
      <c r="O488" s="40">
        <f t="shared" si="276"/>
        <v>137.95123969578259</v>
      </c>
    </row>
    <row r="489" spans="1:15" ht="13.5" x14ac:dyDescent="0.25">
      <c r="A489" s="2">
        <v>44165</v>
      </c>
      <c r="B489" s="49">
        <v>2760141.07</v>
      </c>
      <c r="C489" s="6">
        <v>9</v>
      </c>
      <c r="D489" s="37"/>
      <c r="E489" s="4">
        <v>0.1076</v>
      </c>
      <c r="F489" s="4">
        <f t="shared" si="286"/>
        <v>0.34116722262993271</v>
      </c>
      <c r="G489" s="40">
        <f t="shared" si="272"/>
        <v>134.11672226299331</v>
      </c>
      <c r="H489" s="37"/>
      <c r="I489" s="4">
        <v>0.1084</v>
      </c>
      <c r="J489" s="4">
        <f t="shared" si="285"/>
        <v>0.38029074786174388</v>
      </c>
      <c r="K489" s="40">
        <f t="shared" si="274"/>
        <v>138.02907478617436</v>
      </c>
      <c r="L489" s="37"/>
      <c r="M489" s="4">
        <v>0.1095</v>
      </c>
      <c r="N489" s="4">
        <f t="shared" si="287"/>
        <v>0.53056900442470734</v>
      </c>
      <c r="O489" s="40">
        <f t="shared" si="276"/>
        <v>153.05690044247078</v>
      </c>
    </row>
    <row r="490" spans="1:15" ht="13.5" x14ac:dyDescent="0.25">
      <c r="A490" s="2">
        <v>44196</v>
      </c>
      <c r="B490" s="49">
        <v>2828119.52</v>
      </c>
      <c r="C490" s="6">
        <v>9</v>
      </c>
      <c r="D490" s="36">
        <f>(1+E488)*(1+E489)*(1+E490)-1</f>
        <v>0.11022078096799981</v>
      </c>
      <c r="E490" s="4">
        <v>2.46E-2</v>
      </c>
      <c r="F490" s="4">
        <f t="shared" si="286"/>
        <v>0.37415993630662903</v>
      </c>
      <c r="G490" s="40">
        <f t="shared" si="272"/>
        <v>137.41599363066294</v>
      </c>
      <c r="H490" s="36">
        <f>(1+I488)*(1+I489)*(1+I490)-1</f>
        <v>0.11303180408800029</v>
      </c>
      <c r="I490" s="4">
        <v>2.53E-2</v>
      </c>
      <c r="J490" s="4">
        <f t="shared" si="285"/>
        <v>0.41521210378264617</v>
      </c>
      <c r="K490" s="40">
        <f t="shared" si="274"/>
        <v>141.52121037826458</v>
      </c>
      <c r="L490" s="36">
        <f>(1+M488)*(1+M489)*(1+M490)-1</f>
        <v>0.12145881232</v>
      </c>
      <c r="M490" s="4">
        <v>3.8399999999999997E-2</v>
      </c>
      <c r="N490" s="4">
        <f t="shared" si="287"/>
        <v>0.58934285419461618</v>
      </c>
      <c r="O490" s="40">
        <f t="shared" si="276"/>
        <v>158.93428541946165</v>
      </c>
    </row>
    <row r="491" spans="1:15" ht="13.5" x14ac:dyDescent="0.25">
      <c r="A491" s="2">
        <v>44227</v>
      </c>
      <c r="B491" s="49">
        <v>2601178.0499999998</v>
      </c>
      <c r="C491" s="6">
        <v>10</v>
      </c>
      <c r="D491" s="37"/>
      <c r="E491" s="4">
        <v>-9.7999999999999997E-3</v>
      </c>
      <c r="F491" s="4">
        <f t="shared" si="286"/>
        <v>0.36069316893082393</v>
      </c>
      <c r="G491" s="40">
        <f t="shared" si="272"/>
        <v>136.06931689308243</v>
      </c>
      <c r="H491" s="37"/>
      <c r="I491" s="4">
        <v>-8.5000000000000006E-3</v>
      </c>
      <c r="J491" s="4">
        <f t="shared" si="285"/>
        <v>0.40318280090049385</v>
      </c>
      <c r="K491" s="40">
        <f t="shared" si="274"/>
        <v>140.31828009004934</v>
      </c>
      <c r="L491" s="37"/>
      <c r="M491" s="4">
        <v>-1.01E-2</v>
      </c>
      <c r="N491" s="4">
        <f t="shared" si="287"/>
        <v>0.57329049136725052</v>
      </c>
      <c r="O491" s="40">
        <f t="shared" si="276"/>
        <v>157.32904913672508</v>
      </c>
    </row>
    <row r="492" spans="1:15" ht="13.5" x14ac:dyDescent="0.25">
      <c r="A492" s="2">
        <v>44255</v>
      </c>
      <c r="B492" s="49">
        <v>2691360.23</v>
      </c>
      <c r="C492" s="6">
        <v>10</v>
      </c>
      <c r="D492" s="37"/>
      <c r="E492" s="4">
        <v>3.5400000000000001E-2</v>
      </c>
      <c r="F492" s="4">
        <f t="shared" si="286"/>
        <v>0.40886170711097525</v>
      </c>
      <c r="G492" s="40">
        <f t="shared" si="272"/>
        <v>140.88617071109755</v>
      </c>
      <c r="H492" s="37"/>
      <c r="I492" s="4">
        <v>3.5700000000000003E-2</v>
      </c>
      <c r="J492" s="4">
        <f t="shared" si="285"/>
        <v>0.45327642689264147</v>
      </c>
      <c r="K492" s="40">
        <f t="shared" si="274"/>
        <v>145.32764268926411</v>
      </c>
      <c r="L492" s="37"/>
      <c r="M492" s="4">
        <v>2.76E-2</v>
      </c>
      <c r="N492" s="4">
        <f t="shared" si="287"/>
        <v>0.61671330892898668</v>
      </c>
      <c r="O492" s="40">
        <f t="shared" si="276"/>
        <v>161.67133089289871</v>
      </c>
    </row>
    <row r="493" spans="1:15" ht="13.5" x14ac:dyDescent="0.25">
      <c r="A493" s="2">
        <v>44286</v>
      </c>
      <c r="B493" s="49">
        <v>3446969.08</v>
      </c>
      <c r="C493" s="6">
        <v>13</v>
      </c>
      <c r="D493" s="36">
        <f>(1+E491)*(1+E492)*(1+E493)-1</f>
        <v>8.6460688876000225E-2</v>
      </c>
      <c r="E493" s="4">
        <v>5.9700000000000003E-2</v>
      </c>
      <c r="F493" s="4">
        <f t="shared" si="286"/>
        <v>0.49297075102550059</v>
      </c>
      <c r="G493" s="40">
        <f t="shared" si="272"/>
        <v>149.29707510255008</v>
      </c>
      <c r="H493" s="36">
        <f>(1+I491)*(1+I492)*(1+I493)-1</f>
        <v>8.9023791275000042E-2</v>
      </c>
      <c r="I493" s="4">
        <v>6.0499999999999998E-2</v>
      </c>
      <c r="J493" s="4">
        <f t="shared" si="285"/>
        <v>0.54119965071964637</v>
      </c>
      <c r="K493" s="40">
        <f t="shared" si="274"/>
        <v>154.1199650719646</v>
      </c>
      <c r="L493" s="36">
        <f>(1+M491)*(1+M492)*(1+M493)-1</f>
        <v>6.1775530312000004E-2</v>
      </c>
      <c r="M493" s="4">
        <v>4.3799999999999999E-2</v>
      </c>
      <c r="N493" s="4">
        <f t="shared" si="287"/>
        <v>0.68752535186007635</v>
      </c>
      <c r="O493" s="40">
        <f t="shared" si="276"/>
        <v>168.75253518600769</v>
      </c>
    </row>
    <row r="494" spans="1:15" ht="13.5" x14ac:dyDescent="0.25">
      <c r="A494" s="2">
        <v>44316</v>
      </c>
      <c r="B494" s="49">
        <v>3559158.87</v>
      </c>
      <c r="C494" s="6">
        <v>13</v>
      </c>
      <c r="D494" s="37"/>
      <c r="E494" s="4">
        <v>3.39E-2</v>
      </c>
      <c r="F494" s="4">
        <f t="shared" ref="F494:F502" si="288">(F493+1)*(E494+1)-1</f>
        <v>0.54358245948526518</v>
      </c>
      <c r="G494" s="40">
        <f t="shared" si="272"/>
        <v>154.35824594852653</v>
      </c>
      <c r="H494" s="37"/>
      <c r="I494" s="4">
        <v>3.5000000000000003E-2</v>
      </c>
      <c r="J494" s="4">
        <f t="shared" si="285"/>
        <v>0.59514163849483381</v>
      </c>
      <c r="K494" s="40">
        <f t="shared" si="274"/>
        <v>159.51416384948334</v>
      </c>
      <c r="L494" s="37"/>
      <c r="M494" s="4">
        <v>5.3400000000000003E-2</v>
      </c>
      <c r="N494" s="4">
        <f t="shared" ref="N494:N502" si="289">(N493+1)*(M494+1)-1</f>
        <v>0.77763920564940414</v>
      </c>
      <c r="O494" s="40">
        <f t="shared" si="276"/>
        <v>177.76392056494049</v>
      </c>
    </row>
    <row r="495" spans="1:15" ht="13.5" x14ac:dyDescent="0.25">
      <c r="A495" s="2">
        <v>44347</v>
      </c>
      <c r="B495" s="49">
        <v>3914984.98</v>
      </c>
      <c r="C495" s="6">
        <v>14</v>
      </c>
      <c r="D495" s="37"/>
      <c r="E495" s="4">
        <v>1.12E-2</v>
      </c>
      <c r="F495" s="4">
        <f t="shared" si="288"/>
        <v>0.56087058303150039</v>
      </c>
      <c r="G495" s="40">
        <f t="shared" si="272"/>
        <v>156.08705830315003</v>
      </c>
      <c r="H495" s="37"/>
      <c r="I495" s="4">
        <v>1.1599999999999999E-2</v>
      </c>
      <c r="J495" s="4">
        <f t="shared" si="285"/>
        <v>0.61364528150137398</v>
      </c>
      <c r="K495" s="40">
        <f t="shared" si="274"/>
        <v>161.36452815013735</v>
      </c>
      <c r="L495" s="37"/>
      <c r="M495" s="4">
        <v>7.0000000000000001E-3</v>
      </c>
      <c r="N495" s="4">
        <f t="shared" si="289"/>
        <v>0.79008268008894977</v>
      </c>
      <c r="O495" s="40">
        <f t="shared" si="276"/>
        <v>179.00826800889504</v>
      </c>
    </row>
    <row r="496" spans="1:15" ht="13.5" x14ac:dyDescent="0.25">
      <c r="A496" s="2">
        <v>44377</v>
      </c>
      <c r="B496" s="49">
        <v>4947779.88</v>
      </c>
      <c r="C496" s="6">
        <v>15</v>
      </c>
      <c r="D496" s="36">
        <f>(1+E494)*(1+E495)*(1+E496)-1</f>
        <v>4.0879569408000194E-2</v>
      </c>
      <c r="E496" s="4">
        <v>-4.4000000000000003E-3</v>
      </c>
      <c r="F496" s="4">
        <f t="shared" si="288"/>
        <v>0.55400275246616193</v>
      </c>
      <c r="G496" s="40">
        <f t="shared" si="272"/>
        <v>155.40027524661619</v>
      </c>
      <c r="H496" s="36">
        <f>(1+I494)*(1+I495)*(1+I496)-1</f>
        <v>4.3550880199999975E-2</v>
      </c>
      <c r="I496" s="4">
        <v>-3.3E-3</v>
      </c>
      <c r="J496" s="4">
        <f t="shared" si="285"/>
        <v>0.60832025207241958</v>
      </c>
      <c r="K496" s="40">
        <f t="shared" si="274"/>
        <v>160.83202520724188</v>
      </c>
      <c r="L496" s="36">
        <f>(1+M494)*(1+M495)*(1+M496)-1</f>
        <v>8.5489829539999951E-2</v>
      </c>
      <c r="M496" s="4">
        <v>2.3300000000000001E-2</v>
      </c>
      <c r="N496" s="4">
        <f t="shared" si="289"/>
        <v>0.83179160653502238</v>
      </c>
      <c r="O496" s="40">
        <f t="shared" si="276"/>
        <v>183.17916065350232</v>
      </c>
    </row>
    <row r="497" spans="1:15" ht="13.5" x14ac:dyDescent="0.25">
      <c r="A497" s="2">
        <v>44408</v>
      </c>
      <c r="B497" s="49">
        <v>5227466.82</v>
      </c>
      <c r="C497" s="6">
        <v>17</v>
      </c>
      <c r="D497" s="37"/>
      <c r="E497" s="4">
        <v>1.3100000000000001E-2</v>
      </c>
      <c r="F497" s="4">
        <f t="shared" si="288"/>
        <v>0.57436018852346882</v>
      </c>
      <c r="G497" s="40">
        <f t="shared" si="272"/>
        <v>157.43601885234688</v>
      </c>
      <c r="H497" s="37"/>
      <c r="I497" s="4">
        <v>1.41E-2</v>
      </c>
      <c r="J497" s="4">
        <f t="shared" si="285"/>
        <v>0.63099756762664061</v>
      </c>
      <c r="K497" s="40">
        <f t="shared" si="274"/>
        <v>163.09975676266399</v>
      </c>
      <c r="L497" s="37"/>
      <c r="M497" s="4">
        <v>2.3800000000000002E-2</v>
      </c>
      <c r="N497" s="4">
        <f t="shared" si="289"/>
        <v>0.87538824677055604</v>
      </c>
      <c r="O497" s="40">
        <f t="shared" si="276"/>
        <v>187.53882467705569</v>
      </c>
    </row>
    <row r="498" spans="1:15" ht="13.5" x14ac:dyDescent="0.25">
      <c r="A498" s="2">
        <v>44439</v>
      </c>
      <c r="B498" s="49">
        <v>5297333.75</v>
      </c>
      <c r="C498" s="6">
        <v>17</v>
      </c>
      <c r="D498" s="37"/>
      <c r="E498" s="4">
        <v>1.43E-2</v>
      </c>
      <c r="F498" s="4">
        <f t="shared" si="288"/>
        <v>0.59687353921935449</v>
      </c>
      <c r="G498" s="40">
        <f t="shared" si="272"/>
        <v>159.68735392193543</v>
      </c>
      <c r="H498" s="37"/>
      <c r="I498" s="4">
        <v>1.4800000000000001E-2</v>
      </c>
      <c r="J498" s="4">
        <f t="shared" si="285"/>
        <v>0.65513633162751472</v>
      </c>
      <c r="K498" s="40">
        <f t="shared" si="274"/>
        <v>165.5136331627514</v>
      </c>
      <c r="L498" s="37"/>
      <c r="M498" s="4">
        <v>3.04E-2</v>
      </c>
      <c r="N498" s="4">
        <f t="shared" si="289"/>
        <v>0.93240004947238098</v>
      </c>
      <c r="O498" s="40">
        <f t="shared" si="276"/>
        <v>193.24000494723816</v>
      </c>
    </row>
    <row r="499" spans="1:15" ht="13.5" x14ac:dyDescent="0.25">
      <c r="A499" s="2">
        <v>44469</v>
      </c>
      <c r="B499" s="49">
        <v>5140931.26</v>
      </c>
      <c r="C499" s="6">
        <v>17</v>
      </c>
      <c r="D499" s="36">
        <f>(1+E497)*(1+E498)*(1+E499)-1</f>
        <v>-2.7264962349999866E-3</v>
      </c>
      <c r="E499" s="4">
        <v>-2.9499999999999998E-2</v>
      </c>
      <c r="F499" s="4">
        <f t="shared" si="288"/>
        <v>0.54976576981238368</v>
      </c>
      <c r="G499" s="40">
        <f t="shared" si="272"/>
        <v>154.97657698123834</v>
      </c>
      <c r="H499" s="36">
        <f>(1+I497)*(1+I498)*(1+I499)-1</f>
        <v>-2.2091737999996308E-4</v>
      </c>
      <c r="I499" s="4">
        <v>-2.8500000000000001E-2</v>
      </c>
      <c r="J499" s="4">
        <f t="shared" si="285"/>
        <v>0.60796494617613051</v>
      </c>
      <c r="K499" s="40">
        <f t="shared" si="274"/>
        <v>160.79649461761301</v>
      </c>
      <c r="L499" s="36">
        <f>(1+M497)*(1+M498)*(1+M499)-1</f>
        <v>5.8695763200000695E-3</v>
      </c>
      <c r="M499" s="4">
        <v>-4.65E-2</v>
      </c>
      <c r="N499" s="4">
        <f t="shared" si="289"/>
        <v>0.84254344717191532</v>
      </c>
      <c r="O499" s="40">
        <f t="shared" si="276"/>
        <v>184.2543447171916</v>
      </c>
    </row>
    <row r="500" spans="1:15" ht="13.5" x14ac:dyDescent="0.25">
      <c r="A500" s="2">
        <v>44500</v>
      </c>
      <c r="B500" s="49">
        <v>5340926.42</v>
      </c>
      <c r="C500" s="6">
        <v>17</v>
      </c>
      <c r="D500" s="37"/>
      <c r="E500" s="4">
        <v>3.8899999999999997E-2</v>
      </c>
      <c r="F500" s="4">
        <f t="shared" si="288"/>
        <v>0.61005165825808527</v>
      </c>
      <c r="G500" s="40">
        <f t="shared" si="272"/>
        <v>161.00516582580849</v>
      </c>
      <c r="H500" s="37"/>
      <c r="I500" s="4">
        <v>3.9899999999999998E-2</v>
      </c>
      <c r="J500" s="4">
        <f t="shared" si="285"/>
        <v>0.67212274752855827</v>
      </c>
      <c r="K500" s="40">
        <f t="shared" si="274"/>
        <v>167.21227475285576</v>
      </c>
      <c r="L500" s="37"/>
      <c r="M500" s="4">
        <v>7.0099999999999996E-2</v>
      </c>
      <c r="N500" s="4">
        <f t="shared" si="289"/>
        <v>0.97170574281866662</v>
      </c>
      <c r="O500" s="40">
        <f t="shared" si="276"/>
        <v>197.17057428186675</v>
      </c>
    </row>
    <row r="501" spans="1:15" ht="13.5" x14ac:dyDescent="0.25">
      <c r="A501" s="2">
        <v>44530</v>
      </c>
      <c r="B501" s="49">
        <v>5334585.6900000004</v>
      </c>
      <c r="C501" s="6">
        <v>17</v>
      </c>
      <c r="D501" s="37"/>
      <c r="E501" s="4">
        <v>-1.9400000000000001E-2</v>
      </c>
      <c r="F501" s="4">
        <f t="shared" si="288"/>
        <v>0.57881665608787847</v>
      </c>
      <c r="G501" s="40">
        <f t="shared" si="272"/>
        <v>157.88166560878781</v>
      </c>
      <c r="H501" s="37"/>
      <c r="I501" s="4">
        <v>-1.9E-2</v>
      </c>
      <c r="J501" s="4">
        <f t="shared" si="285"/>
        <v>0.64035241532551557</v>
      </c>
      <c r="K501" s="40">
        <f t="shared" si="274"/>
        <v>164.03524153255151</v>
      </c>
      <c r="L501" s="37"/>
      <c r="M501" s="4">
        <v>-6.8999999999999999E-3</v>
      </c>
      <c r="N501" s="4">
        <f t="shared" si="289"/>
        <v>0.95810097319321774</v>
      </c>
      <c r="O501" s="40">
        <f t="shared" si="276"/>
        <v>195.81009731932187</v>
      </c>
    </row>
    <row r="502" spans="1:15" ht="13.5" x14ac:dyDescent="0.25">
      <c r="A502" s="2">
        <v>44561</v>
      </c>
      <c r="B502" s="49">
        <v>5505803.8399999999</v>
      </c>
      <c r="C502" s="6">
        <v>16</v>
      </c>
      <c r="D502" s="36">
        <f>(1+E500)*(1+E501)*(1+E502)-1</f>
        <v>8.7408775915999826E-2</v>
      </c>
      <c r="E502" s="4">
        <v>6.7400000000000002E-2</v>
      </c>
      <c r="F502" s="4">
        <f t="shared" si="288"/>
        <v>0.68522889870820136</v>
      </c>
      <c r="G502" s="40">
        <f t="shared" si="272"/>
        <v>168.52288987082011</v>
      </c>
      <c r="H502" s="36">
        <f>(1+I500)*(1+I501)*(1+I502)-1</f>
        <v>9.0021620150000148E-2</v>
      </c>
      <c r="I502" s="4">
        <v>6.8500000000000005E-2</v>
      </c>
      <c r="J502" s="4">
        <f t="shared" si="285"/>
        <v>0.75271655577531349</v>
      </c>
      <c r="K502" s="40">
        <f t="shared" si="274"/>
        <v>175.27165557753128</v>
      </c>
      <c r="L502" s="36">
        <f>(1+M500)*(1+M501)*(1+M502)-1</f>
        <v>0.11032600068800003</v>
      </c>
      <c r="M502" s="4">
        <v>4.48E-2</v>
      </c>
      <c r="N502" s="4">
        <f t="shared" si="289"/>
        <v>1.0458238967922737</v>
      </c>
      <c r="O502" s="40">
        <f t="shared" si="276"/>
        <v>204.58238967922748</v>
      </c>
    </row>
    <row r="503" spans="1:15" ht="13.5" x14ac:dyDescent="0.25">
      <c r="A503" s="2">
        <v>44592</v>
      </c>
      <c r="B503" s="49">
        <v>5671105.9000000004</v>
      </c>
      <c r="C503" s="6">
        <v>18</v>
      </c>
      <c r="D503" s="37"/>
      <c r="E503" s="4">
        <v>-2.3400000000000001E-2</v>
      </c>
      <c r="F503" s="4">
        <f t="shared" ref="F503:F508" si="290">(F502+1)*(E503+1)-1</f>
        <v>0.64579454247842949</v>
      </c>
      <c r="G503" s="40">
        <f t="shared" si="272"/>
        <v>164.57945424784293</v>
      </c>
      <c r="H503" s="37"/>
      <c r="I503" s="4">
        <v>-2.2599999999999999E-2</v>
      </c>
      <c r="J503" s="4">
        <f t="shared" si="285"/>
        <v>0.71310516161479143</v>
      </c>
      <c r="K503" s="40">
        <f t="shared" si="274"/>
        <v>171.31051616147909</v>
      </c>
      <c r="L503" s="37"/>
      <c r="M503" s="4">
        <v>-5.1700000000000003E-2</v>
      </c>
      <c r="N503" s="4">
        <f t="shared" ref="N503:N508" si="291">(N502+1)*(M503+1)-1</f>
        <v>0.94005480132811314</v>
      </c>
      <c r="O503" s="40">
        <f t="shared" si="276"/>
        <v>194.00548013281141</v>
      </c>
    </row>
    <row r="504" spans="1:15" ht="13.5" x14ac:dyDescent="0.25">
      <c r="A504" s="2">
        <v>44620</v>
      </c>
      <c r="B504" s="49">
        <v>5587810.1299999999</v>
      </c>
      <c r="C504" s="6">
        <v>18</v>
      </c>
      <c r="D504" s="37"/>
      <c r="E504" s="4">
        <v>-1.0200000000000001E-2</v>
      </c>
      <c r="F504" s="4">
        <f t="shared" si="290"/>
        <v>0.62900743814514959</v>
      </c>
      <c r="G504" s="40">
        <f t="shared" si="272"/>
        <v>162.90074381451493</v>
      </c>
      <c r="H504" s="37"/>
      <c r="I504" s="4">
        <v>-9.7999999999999997E-3</v>
      </c>
      <c r="J504" s="4">
        <f t="shared" si="285"/>
        <v>0.69631673103096636</v>
      </c>
      <c r="K504" s="40">
        <f t="shared" si="274"/>
        <v>169.63167310309657</v>
      </c>
      <c r="L504" s="37"/>
      <c r="M504" s="4">
        <v>-2.9899999999999999E-2</v>
      </c>
      <c r="N504" s="4">
        <f t="shared" si="291"/>
        <v>0.88204716276840256</v>
      </c>
      <c r="O504" s="40">
        <f t="shared" si="276"/>
        <v>188.20471627684034</v>
      </c>
    </row>
    <row r="505" spans="1:15" ht="13.5" x14ac:dyDescent="0.25">
      <c r="A505" s="2">
        <v>44651</v>
      </c>
      <c r="B505" s="49">
        <v>5569112.8600000003</v>
      </c>
      <c r="C505" s="6">
        <v>18</v>
      </c>
      <c r="D505" s="36">
        <f>(1+E503)*(1+E504)*(1+E505)-1</f>
        <v>-1.2675252247999813E-2</v>
      </c>
      <c r="E505" s="4">
        <v>2.1399999999999999E-2</v>
      </c>
      <c r="F505" s="4">
        <f t="shared" si="290"/>
        <v>0.66386819732145597</v>
      </c>
      <c r="G505" s="40">
        <f t="shared" si="272"/>
        <v>166.38681973214557</v>
      </c>
      <c r="H505" s="36">
        <f>(1+I503)*(1+I504)*(1+I505)-1</f>
        <v>-1.0499318848000039E-2</v>
      </c>
      <c r="I505" s="4">
        <v>2.24E-2</v>
      </c>
      <c r="J505" s="4">
        <f t="shared" si="285"/>
        <v>0.73431422580605998</v>
      </c>
      <c r="K505" s="40">
        <f t="shared" si="274"/>
        <v>173.43142258060593</v>
      </c>
      <c r="L505" s="36">
        <f>(1+M503)*(1+M504)*(1+M505)-1</f>
        <v>-4.5924179707000135E-2</v>
      </c>
      <c r="M505" s="4">
        <v>3.7100000000000001E-2</v>
      </c>
      <c r="N505" s="4">
        <f t="shared" si="291"/>
        <v>0.95187111250711021</v>
      </c>
      <c r="O505" s="40">
        <f t="shared" si="276"/>
        <v>195.1871112507111</v>
      </c>
    </row>
    <row r="506" spans="1:15" ht="13.5" x14ac:dyDescent="0.25">
      <c r="A506" s="2">
        <v>44681</v>
      </c>
      <c r="B506" s="49">
        <v>6251343.0800000001</v>
      </c>
      <c r="C506" s="6">
        <v>21</v>
      </c>
      <c r="D506" s="37"/>
      <c r="E506" s="4">
        <v>-5.0900000000000001E-2</v>
      </c>
      <c r="F506" s="4">
        <f t="shared" si="290"/>
        <v>0.57917730607779405</v>
      </c>
      <c r="G506" s="40">
        <f t="shared" si="272"/>
        <v>157.91773060777936</v>
      </c>
      <c r="H506" s="37"/>
      <c r="I506" s="4">
        <v>-0.05</v>
      </c>
      <c r="J506" s="4">
        <f t="shared" si="285"/>
        <v>0.64759851451575701</v>
      </c>
      <c r="K506" s="40">
        <f t="shared" si="274"/>
        <v>164.75985145157563</v>
      </c>
      <c r="L506" s="37"/>
      <c r="M506" s="4">
        <v>-8.72E-2</v>
      </c>
      <c r="N506" s="4">
        <f t="shared" si="291"/>
        <v>0.78166795149649038</v>
      </c>
      <c r="O506" s="40">
        <f t="shared" si="276"/>
        <v>178.16679514964909</v>
      </c>
    </row>
    <row r="507" spans="1:15" ht="13.5" x14ac:dyDescent="0.25">
      <c r="A507" s="2">
        <v>44712</v>
      </c>
      <c r="B507" s="49">
        <v>6012850.2699999996</v>
      </c>
      <c r="C507" s="6">
        <v>20</v>
      </c>
      <c r="D507" s="37"/>
      <c r="E507" s="4">
        <v>1.2699999999999999E-2</v>
      </c>
      <c r="F507" s="4">
        <f t="shared" si="290"/>
        <v>0.59923285786498193</v>
      </c>
      <c r="G507" s="40">
        <f t="shared" si="272"/>
        <v>159.92328578649816</v>
      </c>
      <c r="H507" s="37"/>
      <c r="I507" s="4">
        <v>1.3100000000000001E-2</v>
      </c>
      <c r="J507" s="4">
        <f t="shared" si="285"/>
        <v>0.66918205505591355</v>
      </c>
      <c r="K507" s="40">
        <f t="shared" si="274"/>
        <v>166.91820550559129</v>
      </c>
      <c r="L507" s="37"/>
      <c r="M507" s="4">
        <v>1.8E-3</v>
      </c>
      <c r="N507" s="4">
        <f t="shared" si="291"/>
        <v>0.78487495380918415</v>
      </c>
      <c r="O507" s="40">
        <f t="shared" si="276"/>
        <v>178.48749538091846</v>
      </c>
    </row>
    <row r="508" spans="1:15" ht="13.5" x14ac:dyDescent="0.25">
      <c r="A508" s="2">
        <v>44742</v>
      </c>
      <c r="B508" s="49">
        <v>5838347.1100000003</v>
      </c>
      <c r="C508" s="6">
        <v>22</v>
      </c>
      <c r="D508" s="36">
        <f>(1+E506)*(1+E507)*(1+E508)-1</f>
        <v>-0.10314760383299992</v>
      </c>
      <c r="E508" s="4">
        <v>-6.6900000000000001E-2</v>
      </c>
      <c r="F508" s="4">
        <f t="shared" si="290"/>
        <v>0.49224417967381462</v>
      </c>
      <c r="G508" s="40">
        <f t="shared" si="272"/>
        <v>149.22441796738144</v>
      </c>
      <c r="H508" s="36">
        <f>(1+I506)*(1+I507)*(1+I508)-1</f>
        <v>-0.1008838809999999</v>
      </c>
      <c r="I508" s="4">
        <v>-6.5799999999999997E-2</v>
      </c>
      <c r="J508" s="4">
        <f t="shared" si="285"/>
        <v>0.55934987583323448</v>
      </c>
      <c r="K508" s="40">
        <f t="shared" si="274"/>
        <v>155.93498758332339</v>
      </c>
      <c r="L508" s="36">
        <f>(1+M506)*(1+M507)*(1+M508)-1</f>
        <v>-0.16099851079999994</v>
      </c>
      <c r="M508" s="4">
        <v>-8.2500000000000004E-2</v>
      </c>
      <c r="N508" s="4">
        <f t="shared" si="291"/>
        <v>0.63762277011992641</v>
      </c>
      <c r="O508" s="40">
        <f t="shared" si="276"/>
        <v>163.76227701199269</v>
      </c>
    </row>
    <row r="509" spans="1:15" ht="13.5" x14ac:dyDescent="0.25">
      <c r="A509" s="2">
        <v>44773</v>
      </c>
      <c r="B509" s="49">
        <v>6102487.7300000004</v>
      </c>
      <c r="C509" s="6">
        <v>22</v>
      </c>
      <c r="D509" s="37"/>
      <c r="E509" s="4">
        <v>4.7399999999999998E-2</v>
      </c>
      <c r="F509" s="4">
        <f t="shared" ref="F509:F517" si="292">(F508+1)*(E509+1)-1</f>
        <v>0.5629765537903535</v>
      </c>
      <c r="G509" s="40">
        <f t="shared" si="272"/>
        <v>156.29765537903535</v>
      </c>
      <c r="H509" s="37"/>
      <c r="I509" s="4">
        <v>4.8399999999999999E-2</v>
      </c>
      <c r="J509" s="4">
        <f t="shared" si="285"/>
        <v>0.63482240982356308</v>
      </c>
      <c r="K509" s="40">
        <f t="shared" si="274"/>
        <v>163.48224098235625</v>
      </c>
      <c r="L509" s="37"/>
      <c r="M509" s="4">
        <v>9.2200000000000004E-2</v>
      </c>
      <c r="N509" s="4">
        <f t="shared" ref="N509:N517" si="293">(N508+1)*(M509+1)-1</f>
        <v>0.78861158952498367</v>
      </c>
      <c r="O509" s="40">
        <f t="shared" si="276"/>
        <v>178.86115895249844</v>
      </c>
    </row>
    <row r="510" spans="1:15" ht="13.5" x14ac:dyDescent="0.25">
      <c r="A510" s="2">
        <v>44804</v>
      </c>
      <c r="B510" s="49">
        <v>5927427.5599999996</v>
      </c>
      <c r="C510" s="6">
        <v>22</v>
      </c>
      <c r="D510" s="37"/>
      <c r="E510" s="4">
        <v>-2.87E-2</v>
      </c>
      <c r="F510" s="4">
        <f t="shared" si="292"/>
        <v>0.51811912669657034</v>
      </c>
      <c r="G510" s="40">
        <f t="shared" si="272"/>
        <v>151.81191266965703</v>
      </c>
      <c r="H510" s="37"/>
      <c r="I510" s="4">
        <v>-2.8299999999999999E-2</v>
      </c>
      <c r="J510" s="4">
        <f t="shared" si="285"/>
        <v>0.58855693562555622</v>
      </c>
      <c r="K510" s="40">
        <f t="shared" si="274"/>
        <v>158.85569356255556</v>
      </c>
      <c r="L510" s="37"/>
      <c r="M510" s="4">
        <v>-4.0800000000000003E-2</v>
      </c>
      <c r="N510" s="4">
        <f t="shared" si="293"/>
        <v>0.71563623667236453</v>
      </c>
      <c r="O510" s="40">
        <f t="shared" si="276"/>
        <v>171.56362366723653</v>
      </c>
    </row>
    <row r="511" spans="1:15" ht="13.5" x14ac:dyDescent="0.25">
      <c r="A511" s="2">
        <v>44834</v>
      </c>
      <c r="B511" s="49">
        <v>5384249.4000000004</v>
      </c>
      <c r="C511" s="6">
        <v>21</v>
      </c>
      <c r="D511" s="36">
        <f>(1+E509)*(1+E510)*(1+E511)-1</f>
        <v>-5.8655649613999827E-2</v>
      </c>
      <c r="E511" s="4">
        <v>-7.4700000000000003E-2</v>
      </c>
      <c r="F511" s="4">
        <f t="shared" si="292"/>
        <v>0.40471562793233651</v>
      </c>
      <c r="G511" s="40">
        <f t="shared" si="272"/>
        <v>140.47156279323366</v>
      </c>
      <c r="H511" s="36">
        <f>(1+I509)*(1+I510)*(1+I511)-1</f>
        <v>-5.6248268608000029E-2</v>
      </c>
      <c r="I511" s="4">
        <v>-7.3599999999999999E-2</v>
      </c>
      <c r="J511" s="4">
        <f t="shared" si="285"/>
        <v>0.47163914516351535</v>
      </c>
      <c r="K511" s="40">
        <f t="shared" si="274"/>
        <v>147.16391451635147</v>
      </c>
      <c r="L511" s="36">
        <f>(1+M509)*(1+M510)*(1+M511)-1</f>
        <v>-4.8849241903999863E-2</v>
      </c>
      <c r="M511" s="4">
        <v>-9.2100000000000001E-2</v>
      </c>
      <c r="N511" s="4">
        <f t="shared" si="293"/>
        <v>0.55762613927483984</v>
      </c>
      <c r="O511" s="40">
        <f t="shared" si="276"/>
        <v>155.76261392748404</v>
      </c>
    </row>
    <row r="512" spans="1:15" ht="13.5" x14ac:dyDescent="0.25">
      <c r="A512" s="2">
        <v>44865</v>
      </c>
      <c r="B512" s="49">
        <v>5837951.3899999997</v>
      </c>
      <c r="C512" s="6">
        <v>21</v>
      </c>
      <c r="D512" s="37"/>
      <c r="E512" s="4">
        <v>8.43E-2</v>
      </c>
      <c r="F512" s="4">
        <f t="shared" si="292"/>
        <v>0.52313315536703264</v>
      </c>
      <c r="G512" s="40">
        <f t="shared" si="272"/>
        <v>152.31331553670327</v>
      </c>
      <c r="H512" s="37"/>
      <c r="I512" s="4">
        <v>8.5400000000000004E-2</v>
      </c>
      <c r="J512" s="4">
        <f t="shared" si="285"/>
        <v>0.59731712816047944</v>
      </c>
      <c r="K512" s="40">
        <f t="shared" si="274"/>
        <v>159.73171281604786</v>
      </c>
      <c r="L512" s="37"/>
      <c r="M512" s="4">
        <v>8.1000000000000003E-2</v>
      </c>
      <c r="N512" s="4">
        <f t="shared" si="293"/>
        <v>0.6837938565561017</v>
      </c>
      <c r="O512" s="40">
        <f t="shared" si="276"/>
        <v>168.37938565561024</v>
      </c>
    </row>
    <row r="513" spans="1:15" ht="13.5" x14ac:dyDescent="0.25">
      <c r="A513" s="2">
        <v>44895</v>
      </c>
      <c r="B513" s="49">
        <v>6299473.8799999999</v>
      </c>
      <c r="C513" s="6">
        <v>22</v>
      </c>
      <c r="D513" s="37"/>
      <c r="E513" s="4">
        <v>5.9499999999999997E-2</v>
      </c>
      <c r="F513" s="4">
        <f t="shared" si="292"/>
        <v>0.61375957811137094</v>
      </c>
      <c r="G513" s="40">
        <f t="shared" si="272"/>
        <v>161.37595781113711</v>
      </c>
      <c r="H513" s="37"/>
      <c r="I513" s="4">
        <v>5.9799999999999999E-2</v>
      </c>
      <c r="J513" s="4">
        <f t="shared" si="285"/>
        <v>0.69283669242447621</v>
      </c>
      <c r="K513" s="40">
        <f t="shared" si="274"/>
        <v>169.28366924244753</v>
      </c>
      <c r="L513" s="37"/>
      <c r="M513" s="4">
        <v>5.5899999999999998E-2</v>
      </c>
      <c r="N513" s="4">
        <f t="shared" si="293"/>
        <v>0.77791793313758784</v>
      </c>
      <c r="O513" s="40">
        <f t="shared" si="276"/>
        <v>177.79179331375886</v>
      </c>
    </row>
    <row r="514" spans="1:15" ht="13.5" x14ac:dyDescent="0.25">
      <c r="A514" s="2">
        <v>44926</v>
      </c>
      <c r="B514" s="49">
        <v>5861288.5099999998</v>
      </c>
      <c r="C514" s="6">
        <v>21</v>
      </c>
      <c r="D514" s="36">
        <f>(1+E512)*(1+E513)*(1+E514)-1</f>
        <v>0.11228350596999981</v>
      </c>
      <c r="E514" s="4">
        <v>-3.1800000000000002E-2</v>
      </c>
      <c r="F514" s="4">
        <f t="shared" si="292"/>
        <v>0.56244202352742922</v>
      </c>
      <c r="G514" s="40">
        <f t="shared" si="272"/>
        <v>156.24420235274295</v>
      </c>
      <c r="H514" s="36">
        <f>(1+I512)*(1+I513)*(1+I514)-1</f>
        <v>0.11476243617199988</v>
      </c>
      <c r="I514" s="4">
        <v>-3.09E-2</v>
      </c>
      <c r="J514" s="4">
        <f t="shared" si="285"/>
        <v>0.64052803862855989</v>
      </c>
      <c r="K514" s="40">
        <f t="shared" si="274"/>
        <v>164.05280386285588</v>
      </c>
      <c r="L514" s="36">
        <f>(1+M512)*(1+M513)*(1+M514)-1</f>
        <v>7.5681652959999957E-2</v>
      </c>
      <c r="M514" s="4">
        <v>-5.7599999999999998E-2</v>
      </c>
      <c r="N514" s="4">
        <f t="shared" si="293"/>
        <v>0.67550986018886272</v>
      </c>
      <c r="O514" s="40">
        <f t="shared" si="276"/>
        <v>167.55098601888636</v>
      </c>
    </row>
    <row r="515" spans="1:15" ht="13.5" x14ac:dyDescent="0.25">
      <c r="A515" s="2">
        <v>44957</v>
      </c>
      <c r="B515" s="49">
        <v>6120927.2199999997</v>
      </c>
      <c r="C515" s="6">
        <v>21</v>
      </c>
      <c r="D515" s="37"/>
      <c r="E515" s="4">
        <v>3.9899999999999998E-2</v>
      </c>
      <c r="F515" s="4">
        <f t="shared" si="292"/>
        <v>0.62478346026617371</v>
      </c>
      <c r="G515" s="40">
        <f t="shared" si="272"/>
        <v>162.4783460266174</v>
      </c>
      <c r="H515" s="37"/>
      <c r="I515" s="4">
        <v>4.1000000000000002E-2</v>
      </c>
      <c r="J515" s="4">
        <f t="shared" si="285"/>
        <v>0.70778968821233068</v>
      </c>
      <c r="K515" s="40">
        <f t="shared" si="274"/>
        <v>170.77896882123295</v>
      </c>
      <c r="L515" s="37"/>
      <c r="M515" s="4">
        <v>6.2799999999999995E-2</v>
      </c>
      <c r="N515" s="4">
        <f t="shared" si="293"/>
        <v>0.78073187940872324</v>
      </c>
      <c r="O515" s="40">
        <f t="shared" si="276"/>
        <v>178.07318794087243</v>
      </c>
    </row>
    <row r="516" spans="1:15" ht="13.5" x14ac:dyDescent="0.25">
      <c r="A516" s="2">
        <v>44985</v>
      </c>
      <c r="B516" s="49">
        <v>6046408.3099999996</v>
      </c>
      <c r="C516" s="6">
        <v>22</v>
      </c>
      <c r="D516" s="37"/>
      <c r="E516" s="4">
        <v>-2.8500000000000001E-2</v>
      </c>
      <c r="F516" s="4">
        <f t="shared" si="292"/>
        <v>0.57847713164858772</v>
      </c>
      <c r="G516" s="40">
        <f t="shared" si="272"/>
        <v>157.84771316485882</v>
      </c>
      <c r="H516" s="37"/>
      <c r="I516" s="4">
        <v>-2.8199999999999999E-2</v>
      </c>
      <c r="J516" s="4">
        <f t="shared" si="285"/>
        <v>0.65963001900474305</v>
      </c>
      <c r="K516" s="40">
        <f t="shared" si="274"/>
        <v>165.96300190047418</v>
      </c>
      <c r="L516" s="37"/>
      <c r="M516" s="4">
        <v>-2.4400000000000002E-2</v>
      </c>
      <c r="N516" s="4">
        <f t="shared" si="293"/>
        <v>0.73728202155115041</v>
      </c>
      <c r="O516" s="40">
        <f t="shared" si="276"/>
        <v>173.72820215511516</v>
      </c>
    </row>
    <row r="517" spans="1:15" ht="13.5" x14ac:dyDescent="0.25">
      <c r="A517" s="2">
        <v>45016</v>
      </c>
      <c r="B517" s="49">
        <v>5909608.8700000001</v>
      </c>
      <c r="C517" s="6">
        <v>21</v>
      </c>
      <c r="D517" s="36">
        <f>(1+E515)*(1+E516)*(1+E517)-1</f>
        <v>5.1105094650001348E-3</v>
      </c>
      <c r="E517" s="4">
        <v>-5.1000000000000004E-3</v>
      </c>
      <c r="F517" s="4">
        <f t="shared" si="292"/>
        <v>0.57042689827717985</v>
      </c>
      <c r="G517" s="40">
        <f t="shared" si="272"/>
        <v>157.04268982771805</v>
      </c>
      <c r="H517" s="36">
        <f>(1+I515)*(1+I516)*(1+I517)-1</f>
        <v>7.3948960399998764E-3</v>
      </c>
      <c r="I517" s="4">
        <v>-4.1999999999999997E-3</v>
      </c>
      <c r="J517" s="4">
        <f t="shared" si="285"/>
        <v>0.65265957292492316</v>
      </c>
      <c r="K517" s="40">
        <f t="shared" si="274"/>
        <v>165.2659572924922</v>
      </c>
      <c r="L517" s="36">
        <f>(1+M515)*(1+M516)*(1+M517)-1</f>
        <v>7.4920723856000127E-2</v>
      </c>
      <c r="M517" s="4">
        <v>3.6700000000000003E-2</v>
      </c>
      <c r="N517" s="4">
        <f t="shared" si="293"/>
        <v>0.80104027174207748</v>
      </c>
      <c r="O517" s="40">
        <f t="shared" si="276"/>
        <v>180.10402717420789</v>
      </c>
    </row>
    <row r="518" spans="1:15" ht="13.5" x14ac:dyDescent="0.25">
      <c r="A518" s="2">
        <v>45046</v>
      </c>
      <c r="B518" s="49">
        <v>6480203.5999999996</v>
      </c>
      <c r="C518" s="6">
        <v>22</v>
      </c>
      <c r="D518" s="37"/>
      <c r="E518" s="4">
        <v>1.43E-2</v>
      </c>
      <c r="F518" s="4">
        <f t="shared" ref="F518:F523" si="294">(F517+1)*(E518+1)-1</f>
        <v>0.59288400292254351</v>
      </c>
      <c r="G518" s="40">
        <f t="shared" ref="G518:G547" si="295">G517*(1+E518)</f>
        <v>159.28840029225441</v>
      </c>
      <c r="H518" s="37"/>
      <c r="I518" s="4">
        <v>1.5299999999999999E-2</v>
      </c>
      <c r="J518" s="4">
        <f t="shared" ref="J518:J547" si="296">(J517+1)*(I518+1)-1</f>
        <v>0.67794526439067471</v>
      </c>
      <c r="K518" s="40">
        <f t="shared" ref="K518:K547" si="297">K517*(1+I518)</f>
        <v>167.79452643906734</v>
      </c>
      <c r="L518" s="37"/>
      <c r="M518" s="4">
        <v>1.5599999999999999E-2</v>
      </c>
      <c r="N518" s="4">
        <f t="shared" ref="N518:N523" si="298">(N517+1)*(M518+1)-1</f>
        <v>0.82913649998125405</v>
      </c>
      <c r="O518" s="40">
        <f t="shared" ref="O518:O547" si="299">O517*(1+M518)</f>
        <v>182.91364999812555</v>
      </c>
    </row>
    <row r="519" spans="1:15" ht="13.5" x14ac:dyDescent="0.25">
      <c r="A519" s="2">
        <v>45077</v>
      </c>
      <c r="B519" s="49">
        <v>6171932.8499999996</v>
      </c>
      <c r="C519" s="6">
        <v>22</v>
      </c>
      <c r="D519" s="37"/>
      <c r="E519" s="4">
        <v>-0.04</v>
      </c>
      <c r="F519" s="4">
        <f t="shared" si="294"/>
        <v>0.52916864280564169</v>
      </c>
      <c r="G519" s="40">
        <f t="shared" si="295"/>
        <v>152.91686428056423</v>
      </c>
      <c r="H519" s="37"/>
      <c r="I519" s="4">
        <v>-3.9699999999999999E-2</v>
      </c>
      <c r="J519" s="4">
        <f t="shared" si="296"/>
        <v>0.61133083739436489</v>
      </c>
      <c r="K519" s="40">
        <f t="shared" si="297"/>
        <v>161.13308373943639</v>
      </c>
      <c r="L519" s="37"/>
      <c r="M519" s="4">
        <v>4.3E-3</v>
      </c>
      <c r="N519" s="4">
        <f t="shared" si="298"/>
        <v>0.83700178693117344</v>
      </c>
      <c r="O519" s="40">
        <f t="shared" si="299"/>
        <v>183.70017869311749</v>
      </c>
    </row>
    <row r="520" spans="1:15" ht="13.5" x14ac:dyDescent="0.25">
      <c r="A520" s="2">
        <v>45107</v>
      </c>
      <c r="B520" s="49">
        <v>6438316.1399999997</v>
      </c>
      <c r="C520" s="6">
        <v>21</v>
      </c>
      <c r="D520" s="36">
        <f>(1+E518)*(1+E519)*(1+E520)-1</f>
        <v>3.3222780799999851E-2</v>
      </c>
      <c r="E520" s="4">
        <v>6.1100000000000002E-2</v>
      </c>
      <c r="F520" s="4">
        <f t="shared" si="294"/>
        <v>0.62260084688106621</v>
      </c>
      <c r="G520" s="40">
        <f t="shared" si="295"/>
        <v>162.2600846881067</v>
      </c>
      <c r="H520" s="36">
        <f>(1+I518)*(1+I519)*(1+I520)-1</f>
        <v>3.5637129098000209E-2</v>
      </c>
      <c r="I520" s="4">
        <v>6.2199999999999998E-2</v>
      </c>
      <c r="J520" s="4">
        <f t="shared" si="296"/>
        <v>0.71155561548029445</v>
      </c>
      <c r="K520" s="40">
        <f t="shared" si="297"/>
        <v>171.15556154802934</v>
      </c>
      <c r="L520" s="36">
        <f>(1+M518)*(1+M519)*(1+M520)-1</f>
        <v>8.7386903987999975E-2</v>
      </c>
      <c r="M520" s="4">
        <v>6.6100000000000006E-2</v>
      </c>
      <c r="N520" s="4">
        <f t="shared" si="298"/>
        <v>0.95842760504732416</v>
      </c>
      <c r="O520" s="40">
        <f t="shared" si="299"/>
        <v>195.84276050473258</v>
      </c>
    </row>
    <row r="521" spans="1:15" ht="13.5" x14ac:dyDescent="0.25">
      <c r="A521" s="2">
        <v>45138</v>
      </c>
      <c r="B521" s="49">
        <v>6881678.3700000001</v>
      </c>
      <c r="C521" s="6">
        <v>23</v>
      </c>
      <c r="D521" s="37"/>
      <c r="E521" s="4">
        <v>2.0400000000000001E-2</v>
      </c>
      <c r="F521" s="4">
        <f t="shared" si="294"/>
        <v>0.6557019041574399</v>
      </c>
      <c r="G521" s="40">
        <f t="shared" si="295"/>
        <v>165.57019041574407</v>
      </c>
      <c r="H521" s="37"/>
      <c r="I521" s="4">
        <v>2.1499999999999998E-2</v>
      </c>
      <c r="J521" s="4">
        <f t="shared" si="296"/>
        <v>0.74835406121312098</v>
      </c>
      <c r="K521" s="40">
        <f t="shared" si="297"/>
        <v>174.83540612131199</v>
      </c>
      <c r="L521" s="37"/>
      <c r="M521" s="4">
        <v>3.2099999999999997E-2</v>
      </c>
      <c r="N521" s="4">
        <f t="shared" si="298"/>
        <v>1.0212931311693434</v>
      </c>
      <c r="O521" s="40">
        <f t="shared" si="299"/>
        <v>202.1293131169345</v>
      </c>
    </row>
    <row r="522" spans="1:15" ht="13.5" x14ac:dyDescent="0.25">
      <c r="A522" s="2">
        <v>45169</v>
      </c>
      <c r="B522" s="49">
        <v>6895064.7300000004</v>
      </c>
      <c r="C522" s="6">
        <v>24</v>
      </c>
      <c r="D522" s="37"/>
      <c r="E522" s="4">
        <v>-2.3199999999999998E-2</v>
      </c>
      <c r="F522" s="4">
        <f t="shared" si="294"/>
        <v>0.61728961998098719</v>
      </c>
      <c r="G522" s="40">
        <f t="shared" si="295"/>
        <v>161.72896199809881</v>
      </c>
      <c r="H522" s="37"/>
      <c r="I522" s="4">
        <v>-2.29E-2</v>
      </c>
      <c r="J522" s="4">
        <f t="shared" si="296"/>
        <v>0.70831675321134036</v>
      </c>
      <c r="K522" s="40">
        <f t="shared" si="297"/>
        <v>170.83167532113393</v>
      </c>
      <c r="L522" s="37"/>
      <c r="M522" s="4">
        <v>-1.5900000000000001E-2</v>
      </c>
      <c r="N522" s="4">
        <f t="shared" si="298"/>
        <v>0.98915457038375076</v>
      </c>
      <c r="O522" s="40">
        <f t="shared" si="299"/>
        <v>198.91545703837522</v>
      </c>
    </row>
    <row r="523" spans="1:15" ht="13.5" x14ac:dyDescent="0.25">
      <c r="A523" s="2">
        <v>45199</v>
      </c>
      <c r="B523" s="49">
        <v>6495160.3899999997</v>
      </c>
      <c r="C523" s="6">
        <v>23</v>
      </c>
      <c r="D523" s="36">
        <f>(1+E521)*(1+E522)*(1+E523)-1</f>
        <v>-4.732860102400005E-2</v>
      </c>
      <c r="E523" s="4">
        <v>-4.4200000000000003E-2</v>
      </c>
      <c r="F523" s="4">
        <f t="shared" si="294"/>
        <v>0.54580541877782762</v>
      </c>
      <c r="G523" s="40">
        <f t="shared" si="295"/>
        <v>154.58054187778285</v>
      </c>
      <c r="H523" s="36">
        <f>(1+I521)*(1+I522)*(1+I523)-1</f>
        <v>-4.5010600480000051E-2</v>
      </c>
      <c r="I523" s="4">
        <v>-4.3200000000000002E-2</v>
      </c>
      <c r="J523" s="4">
        <f t="shared" si="296"/>
        <v>0.63451746947261034</v>
      </c>
      <c r="K523" s="40">
        <f t="shared" si="297"/>
        <v>163.45174694726094</v>
      </c>
      <c r="L523" s="36">
        <f>(1+M521)*(1+M522)*(1+M523)-1</f>
        <v>-3.2758784397000085E-2</v>
      </c>
      <c r="M523" s="4">
        <v>-4.7699999999999999E-2</v>
      </c>
      <c r="N523" s="4">
        <f t="shared" si="298"/>
        <v>0.89427189737644586</v>
      </c>
      <c r="O523" s="40">
        <f t="shared" si="299"/>
        <v>189.42718973764474</v>
      </c>
    </row>
    <row r="524" spans="1:15" ht="13.5" x14ac:dyDescent="0.25">
      <c r="A524" s="2">
        <v>45230</v>
      </c>
      <c r="B524" s="49">
        <v>6452358.29</v>
      </c>
      <c r="C524" s="6">
        <v>23</v>
      </c>
      <c r="D524" s="37"/>
      <c r="E524" s="4">
        <v>-2.5499999999999998E-2</v>
      </c>
      <c r="F524" s="4">
        <f t="shared" ref="F524:F529" si="300">(F523+1)*(E524+1)-1</f>
        <v>0.50638738059899313</v>
      </c>
      <c r="G524" s="40">
        <f t="shared" si="295"/>
        <v>150.6387380598994</v>
      </c>
      <c r="H524" s="37"/>
      <c r="I524" s="4">
        <v>-2.4500000000000001E-2</v>
      </c>
      <c r="J524" s="4">
        <f t="shared" si="296"/>
        <v>0.59447179147053153</v>
      </c>
      <c r="K524" s="40">
        <f t="shared" si="297"/>
        <v>159.44717914705305</v>
      </c>
      <c r="L524" s="37"/>
      <c r="M524" s="4">
        <v>-2.1000000000000001E-2</v>
      </c>
      <c r="N524" s="4">
        <f t="shared" ref="N524:N529" si="301">(N523+1)*(M524+1)-1</f>
        <v>0.85449218753154055</v>
      </c>
      <c r="O524" s="40">
        <f t="shared" si="299"/>
        <v>185.44921875315418</v>
      </c>
    </row>
    <row r="525" spans="1:15" ht="13.5" x14ac:dyDescent="0.25">
      <c r="A525" s="2">
        <v>45260</v>
      </c>
      <c r="B525" s="49">
        <v>6866442.0800000001</v>
      </c>
      <c r="C525" s="6">
        <v>23</v>
      </c>
      <c r="D525" s="37"/>
      <c r="E525" s="4">
        <v>6.4199999999999993E-2</v>
      </c>
      <c r="F525" s="4">
        <f t="shared" si="300"/>
        <v>0.60309745043344853</v>
      </c>
      <c r="G525" s="40">
        <f t="shared" si="295"/>
        <v>160.30974504334495</v>
      </c>
      <c r="H525" s="37"/>
      <c r="I525" s="4">
        <v>6.4399999999999999E-2</v>
      </c>
      <c r="J525" s="4">
        <f t="shared" si="296"/>
        <v>0.69715577484123381</v>
      </c>
      <c r="K525" s="40">
        <f t="shared" si="297"/>
        <v>169.71557748412326</v>
      </c>
      <c r="L525" s="37"/>
      <c r="M525" s="4">
        <v>9.1300000000000006E-2</v>
      </c>
      <c r="N525" s="4">
        <f t="shared" si="301"/>
        <v>1.0238073242531702</v>
      </c>
      <c r="O525" s="40">
        <f t="shared" si="299"/>
        <v>202.38073242531715</v>
      </c>
    </row>
    <row r="526" spans="1:15" ht="13.5" x14ac:dyDescent="0.25">
      <c r="A526" s="2">
        <v>45291</v>
      </c>
      <c r="B526" s="49">
        <v>6799507.1200000001</v>
      </c>
      <c r="C526" s="6">
        <v>24</v>
      </c>
      <c r="D526" s="36">
        <f>(1+E524)*(1+E525)*(1+E526)-1</f>
        <v>8.2901080180000086E-2</v>
      </c>
      <c r="E526" s="4">
        <v>4.4200000000000003E-2</v>
      </c>
      <c r="F526" s="4">
        <f t="shared" si="300"/>
        <v>0.67395435774260704</v>
      </c>
      <c r="G526" s="40">
        <f t="shared" si="295"/>
        <v>167.39543577426079</v>
      </c>
      <c r="H526" s="36">
        <f>(1+I524)*(1+I525)*(1+I526)-1</f>
        <v>8.4735202340000093E-2</v>
      </c>
      <c r="I526" s="4">
        <v>4.4699999999999997E-2</v>
      </c>
      <c r="J526" s="4">
        <f t="shared" si="296"/>
        <v>0.77301863797663684</v>
      </c>
      <c r="K526" s="40">
        <f t="shared" si="297"/>
        <v>177.30186379766357</v>
      </c>
      <c r="L526" s="36">
        <f>(1+M524)*(1+M525)*(1+M526)-1</f>
        <v>0.11688727458000003</v>
      </c>
      <c r="M526" s="4">
        <v>4.5400000000000003E-2</v>
      </c>
      <c r="N526" s="4">
        <f t="shared" si="301"/>
        <v>1.1156881767742646</v>
      </c>
      <c r="O526" s="40">
        <f t="shared" si="299"/>
        <v>211.56881767742658</v>
      </c>
    </row>
    <row r="527" spans="1:15" ht="13.5" x14ac:dyDescent="0.25">
      <c r="A527" s="2">
        <v>45322</v>
      </c>
      <c r="B527" s="49">
        <v>6837685.21</v>
      </c>
      <c r="C527" s="6">
        <v>24</v>
      </c>
      <c r="D527" s="37"/>
      <c r="E527" s="4">
        <v>8.9999999999999998E-4</v>
      </c>
      <c r="F527" s="4">
        <f t="shared" si="300"/>
        <v>0.67546091666457531</v>
      </c>
      <c r="G527" s="40">
        <f t="shared" si="295"/>
        <v>167.54609166645761</v>
      </c>
      <c r="H527" s="37"/>
      <c r="I527" s="4">
        <v>2.8999999999999998E-3</v>
      </c>
      <c r="J527" s="4">
        <f t="shared" si="296"/>
        <v>0.77816039202676901</v>
      </c>
      <c r="K527" s="40">
        <f t="shared" si="297"/>
        <v>177.81603920267679</v>
      </c>
      <c r="L527" s="37"/>
      <c r="M527" s="4">
        <v>1.6799999999999999E-2</v>
      </c>
      <c r="N527" s="4">
        <f t="shared" si="301"/>
        <v>1.1512317381440722</v>
      </c>
      <c r="O527" s="40">
        <f t="shared" si="299"/>
        <v>215.12317381440732</v>
      </c>
    </row>
    <row r="528" spans="1:15" ht="13.5" x14ac:dyDescent="0.25">
      <c r="A528" s="2">
        <v>45351</v>
      </c>
      <c r="B528" s="49">
        <v>7489194.9900000002</v>
      </c>
      <c r="C528" s="6">
        <v>25</v>
      </c>
      <c r="D528" s="37"/>
      <c r="E528" s="4">
        <v>1.01E-2</v>
      </c>
      <c r="F528" s="4">
        <f t="shared" si="300"/>
        <v>0.69238307192288762</v>
      </c>
      <c r="G528" s="40">
        <f t="shared" si="295"/>
        <v>169.23830719228883</v>
      </c>
      <c r="H528" s="37"/>
      <c r="I528" s="4">
        <v>1.03E-2</v>
      </c>
      <c r="J528" s="4">
        <f t="shared" si="296"/>
        <v>0.79647544406464466</v>
      </c>
      <c r="K528" s="40">
        <f t="shared" si="297"/>
        <v>179.64754440646436</v>
      </c>
      <c r="L528" s="37"/>
      <c r="M528" s="4">
        <v>5.3400000000000003E-2</v>
      </c>
      <c r="N528" s="4">
        <f t="shared" si="301"/>
        <v>1.2661075129609656</v>
      </c>
      <c r="O528" s="40">
        <f t="shared" si="299"/>
        <v>226.61075129609665</v>
      </c>
    </row>
    <row r="529" spans="1:15" ht="13.5" x14ac:dyDescent="0.25">
      <c r="A529" s="2">
        <v>45382</v>
      </c>
      <c r="B529" s="49">
        <v>7285345.5199999996</v>
      </c>
      <c r="C529" s="6">
        <v>24</v>
      </c>
      <c r="D529" s="36">
        <f>(1+E527)*(1+E528)*(1+E529)-1</f>
        <v>4.356358269799987E-2</v>
      </c>
      <c r="E529" s="4">
        <v>3.2199999999999999E-2</v>
      </c>
      <c r="F529" s="4">
        <f t="shared" si="300"/>
        <v>0.74687780683880467</v>
      </c>
      <c r="G529" s="40">
        <f t="shared" si="295"/>
        <v>174.68778068388053</v>
      </c>
      <c r="H529" s="36">
        <f>(1+I527)*(1+I528)*(1+I529)-1</f>
        <v>4.6058517787999964E-2</v>
      </c>
      <c r="I529" s="4">
        <v>3.2399999999999998E-2</v>
      </c>
      <c r="J529" s="4">
        <f t="shared" si="296"/>
        <v>0.85468124845233917</v>
      </c>
      <c r="K529" s="40">
        <f t="shared" si="297"/>
        <v>185.4681248452338</v>
      </c>
      <c r="L529" s="36">
        <f>(1+M527)*(1+M528)*(1+M529)-1</f>
        <v>0.10558644726400002</v>
      </c>
      <c r="M529" s="4">
        <v>3.2199999999999999E-2</v>
      </c>
      <c r="N529" s="4">
        <f t="shared" si="301"/>
        <v>1.3390761748783087</v>
      </c>
      <c r="O529" s="40">
        <f t="shared" si="299"/>
        <v>233.90761748783098</v>
      </c>
    </row>
    <row r="530" spans="1:15" ht="13.5" x14ac:dyDescent="0.25">
      <c r="A530" s="2">
        <v>45412</v>
      </c>
      <c r="B530" s="49">
        <v>6931029.4699999997</v>
      </c>
      <c r="C530" s="6">
        <v>24</v>
      </c>
      <c r="D530" s="37"/>
      <c r="E530" s="4">
        <v>-4.8399999999999999E-2</v>
      </c>
      <c r="F530" s="4">
        <f t="shared" ref="F530:F535" si="302">(F529+1)*(E530+1)-1</f>
        <v>0.66232892098780649</v>
      </c>
      <c r="G530" s="40">
        <f t="shared" si="295"/>
        <v>166.23289209878072</v>
      </c>
      <c r="H530" s="37"/>
      <c r="I530" s="4">
        <v>-4.65E-2</v>
      </c>
      <c r="J530" s="4">
        <f t="shared" si="296"/>
        <v>0.76843857039930552</v>
      </c>
      <c r="K530" s="40">
        <f t="shared" si="297"/>
        <v>176.84385703993044</v>
      </c>
      <c r="L530" s="37"/>
      <c r="M530" s="4">
        <v>-4.0800000000000003E-2</v>
      </c>
      <c r="N530" s="4">
        <f t="shared" ref="N530:N535" si="303">(N529+1)*(M530+1)-1</f>
        <v>1.2436418669432738</v>
      </c>
      <c r="O530" s="40">
        <f t="shared" si="299"/>
        <v>224.36418669432749</v>
      </c>
    </row>
    <row r="531" spans="1:15" ht="13.5" x14ac:dyDescent="0.25">
      <c r="A531" s="2">
        <v>45443</v>
      </c>
      <c r="B531" s="49">
        <v>7052385.5800000001</v>
      </c>
      <c r="C531" s="6">
        <v>24</v>
      </c>
      <c r="D531" s="37"/>
      <c r="E531" s="4">
        <v>1.77E-2</v>
      </c>
      <c r="F531" s="4">
        <f t="shared" si="302"/>
        <v>0.69175214288929077</v>
      </c>
      <c r="G531" s="40">
        <f t="shared" si="295"/>
        <v>169.17521428892914</v>
      </c>
      <c r="H531" s="37"/>
      <c r="I531" s="4">
        <v>1.7899999999999999E-2</v>
      </c>
      <c r="J531" s="4">
        <f t="shared" si="296"/>
        <v>0.80009362080945312</v>
      </c>
      <c r="K531" s="40">
        <f t="shared" si="297"/>
        <v>180.00936208094521</v>
      </c>
      <c r="L531" s="37"/>
      <c r="M531" s="4">
        <v>4.9599999999999998E-2</v>
      </c>
      <c r="N531" s="4">
        <f t="shared" si="303"/>
        <v>1.3549265035436604</v>
      </c>
      <c r="O531" s="40">
        <f t="shared" si="299"/>
        <v>235.49265035436616</v>
      </c>
    </row>
    <row r="532" spans="1:15" ht="13.5" x14ac:dyDescent="0.25">
      <c r="A532" s="2">
        <v>45473</v>
      </c>
      <c r="B532" s="49">
        <v>7025141.1900000004</v>
      </c>
      <c r="C532" s="6">
        <v>24</v>
      </c>
      <c r="D532" s="36">
        <f>(1+E530)*(1+E531)*(1+E532)-1</f>
        <v>-3.5236764616000005E-2</v>
      </c>
      <c r="E532" s="4">
        <v>-3.8E-3</v>
      </c>
      <c r="F532" s="4">
        <f t="shared" si="302"/>
        <v>0.68532348474631144</v>
      </c>
      <c r="G532" s="40">
        <f t="shared" si="295"/>
        <v>168.53234847463119</v>
      </c>
      <c r="H532" s="36">
        <f>(1+I530)*(1+I531)*(1+I532)-1</f>
        <v>-3.2926393540000043E-2</v>
      </c>
      <c r="I532" s="4">
        <v>-3.5999999999999999E-3</v>
      </c>
      <c r="J532" s="4">
        <f t="shared" si="296"/>
        <v>0.7936132837745391</v>
      </c>
      <c r="K532" s="40">
        <f t="shared" si="297"/>
        <v>179.36132837745379</v>
      </c>
      <c r="L532" s="36">
        <f>(1+M530)*(1+M531)*(1+M532)-1</f>
        <v>4.2919589888000154E-2</v>
      </c>
      <c r="M532" s="4">
        <v>3.5900000000000001E-2</v>
      </c>
      <c r="N532" s="4">
        <f t="shared" si="303"/>
        <v>1.4394683650208777</v>
      </c>
      <c r="O532" s="40">
        <f t="shared" si="299"/>
        <v>243.9468365020879</v>
      </c>
    </row>
    <row r="533" spans="1:15" ht="13.5" x14ac:dyDescent="0.25">
      <c r="A533" s="2">
        <v>45504</v>
      </c>
      <c r="B533" s="49">
        <v>7364352.7300000004</v>
      </c>
      <c r="C533" s="6">
        <v>24</v>
      </c>
      <c r="D533" s="37"/>
      <c r="E533" s="4">
        <v>4.9399999999999999E-2</v>
      </c>
      <c r="F533" s="4">
        <f t="shared" si="302"/>
        <v>0.76857846489277915</v>
      </c>
      <c r="G533" s="40">
        <f t="shared" si="295"/>
        <v>176.85784648927796</v>
      </c>
      <c r="H533" s="37"/>
      <c r="I533" s="4">
        <v>5.1499999999999997E-2</v>
      </c>
      <c r="J533" s="4">
        <f t="shared" si="296"/>
        <v>0.88598436788892809</v>
      </c>
      <c r="K533" s="40">
        <f t="shared" si="297"/>
        <v>188.59843678889268</v>
      </c>
      <c r="L533" s="37"/>
      <c r="M533" s="4">
        <v>1.2200000000000001E-2</v>
      </c>
      <c r="N533" s="4">
        <f t="shared" si="303"/>
        <v>1.4692298790741325</v>
      </c>
      <c r="O533" s="40">
        <f t="shared" si="299"/>
        <v>246.92298790741339</v>
      </c>
    </row>
    <row r="534" spans="1:15" ht="13.5" x14ac:dyDescent="0.25">
      <c r="A534" s="2">
        <v>45535</v>
      </c>
      <c r="B534" s="49">
        <v>7540041.8099999996</v>
      </c>
      <c r="C534" s="6">
        <v>24</v>
      </c>
      <c r="D534" s="37"/>
      <c r="E534" s="4">
        <v>2.4E-2</v>
      </c>
      <c r="F534" s="4">
        <f t="shared" si="302"/>
        <v>0.81102434805020596</v>
      </c>
      <c r="G534" s="40">
        <f t="shared" si="295"/>
        <v>181.10243480502064</v>
      </c>
      <c r="H534" s="37"/>
      <c r="I534" s="4">
        <v>2.4E-2</v>
      </c>
      <c r="J534" s="4">
        <f t="shared" si="296"/>
        <v>0.93124799271826242</v>
      </c>
      <c r="K534" s="40">
        <f t="shared" si="297"/>
        <v>193.12479927182611</v>
      </c>
      <c r="L534" s="37"/>
      <c r="M534" s="4">
        <v>2.4299999999999999E-2</v>
      </c>
      <c r="N534" s="4">
        <f t="shared" si="303"/>
        <v>1.529232165135634</v>
      </c>
      <c r="O534" s="40">
        <f t="shared" si="299"/>
        <v>252.92321651356352</v>
      </c>
    </row>
    <row r="535" spans="1:15" ht="13.5" x14ac:dyDescent="0.25">
      <c r="A535" s="2">
        <v>45565</v>
      </c>
      <c r="B535" s="49">
        <v>7762513.6200000001</v>
      </c>
      <c r="C535" s="6">
        <v>24</v>
      </c>
      <c r="D535" s="36">
        <f>(1+E533)*(1+E534)*(1+E535)-1</f>
        <v>0.10639333375999982</v>
      </c>
      <c r="E535" s="4">
        <v>2.9600000000000001E-2</v>
      </c>
      <c r="F535" s="4">
        <f t="shared" si="302"/>
        <v>0.86463066875249228</v>
      </c>
      <c r="G535" s="40">
        <f t="shared" si="295"/>
        <v>186.46306687524927</v>
      </c>
      <c r="H535" s="36">
        <f>(1+I533)*(1+I534)*(1+I535)-1</f>
        <v>0.10882273280000021</v>
      </c>
      <c r="I535" s="4">
        <v>2.98E-2</v>
      </c>
      <c r="J535" s="4">
        <f t="shared" si="296"/>
        <v>0.98879918290126678</v>
      </c>
      <c r="K535" s="40">
        <f t="shared" si="297"/>
        <v>198.87991829012654</v>
      </c>
      <c r="L535" s="36">
        <f>(1+M533)*(1+M534)*(1+M535)-1</f>
        <v>5.8983904243999907E-2</v>
      </c>
      <c r="M535" s="4">
        <v>2.1399999999999999E-2</v>
      </c>
      <c r="N535" s="4">
        <f t="shared" si="303"/>
        <v>1.5833577334695366</v>
      </c>
      <c r="O535" s="40">
        <f t="shared" si="299"/>
        <v>258.33577334695377</v>
      </c>
    </row>
    <row r="536" spans="1:15" ht="13.5" x14ac:dyDescent="0.25">
      <c r="A536" s="2">
        <v>45596</v>
      </c>
      <c r="B536" s="49">
        <v>7638088.7699999996</v>
      </c>
      <c r="C536" s="6">
        <v>24</v>
      </c>
      <c r="D536" s="37"/>
      <c r="E536" s="4">
        <v>-1.5599999999999999E-2</v>
      </c>
      <c r="F536" s="4">
        <f t="shared" ref="F536:F541" si="304">(F535+1)*(E536+1)-1</f>
        <v>0.83554243031995346</v>
      </c>
      <c r="G536" s="40">
        <f t="shared" si="295"/>
        <v>183.55424303199538</v>
      </c>
      <c r="H536" s="37"/>
      <c r="I536" s="4">
        <v>-1.38E-2</v>
      </c>
      <c r="J536" s="4">
        <f t="shared" si="296"/>
        <v>0.96135375417722924</v>
      </c>
      <c r="K536" s="40">
        <f t="shared" si="297"/>
        <v>196.1353754177228</v>
      </c>
      <c r="L536" s="37"/>
      <c r="M536" s="4">
        <v>-9.1000000000000004E-3</v>
      </c>
      <c r="N536" s="4">
        <f t="shared" ref="N536:N541" si="305">(N535+1)*(M536+1)-1</f>
        <v>1.5598491780949639</v>
      </c>
      <c r="O536" s="40">
        <f t="shared" si="299"/>
        <v>255.98491780949649</v>
      </c>
    </row>
    <row r="537" spans="1:15" ht="13.5" x14ac:dyDescent="0.25">
      <c r="A537" s="2">
        <v>45626</v>
      </c>
      <c r="B537" s="49">
        <v>7949255.2599999998</v>
      </c>
      <c r="C537" s="6">
        <v>24</v>
      </c>
      <c r="D537" s="37"/>
      <c r="E537" s="4">
        <v>4.0899999999999999E-2</v>
      </c>
      <c r="F537" s="4">
        <f t="shared" si="304"/>
        <v>0.91061611572003942</v>
      </c>
      <c r="G537" s="40">
        <f t="shared" si="295"/>
        <v>191.06161157200398</v>
      </c>
      <c r="H537" s="37"/>
      <c r="I537" s="4">
        <v>4.1000000000000002E-2</v>
      </c>
      <c r="J537" s="4">
        <f t="shared" si="296"/>
        <v>1.0417692580984954</v>
      </c>
      <c r="K537" s="40">
        <f t="shared" si="297"/>
        <v>204.17692580984942</v>
      </c>
      <c r="L537" s="37"/>
      <c r="M537" s="4">
        <v>5.8700000000000002E-2</v>
      </c>
      <c r="N537" s="4">
        <f t="shared" si="305"/>
        <v>1.7101123248491383</v>
      </c>
      <c r="O537" s="40">
        <f t="shared" si="299"/>
        <v>271.01123248491393</v>
      </c>
    </row>
    <row r="538" spans="1:15" ht="13.5" x14ac:dyDescent="0.25">
      <c r="A538" s="2">
        <v>45657</v>
      </c>
      <c r="B538" s="49">
        <v>7452123.8600000003</v>
      </c>
      <c r="C538" s="6">
        <v>24</v>
      </c>
      <c r="D538" s="36">
        <f>(1+E536)*(1+E537)*(1+E538)-1</f>
        <v>-3.9072013912000103E-2</v>
      </c>
      <c r="E538" s="4">
        <v>-6.2199999999999998E-2</v>
      </c>
      <c r="F538" s="4">
        <f t="shared" si="304"/>
        <v>0.7917757933222529</v>
      </c>
      <c r="G538" s="40">
        <f t="shared" si="295"/>
        <v>179.17757933222532</v>
      </c>
      <c r="H538" s="36">
        <f>(1+I536)*(1+I537)*(1+I538)-1</f>
        <v>-3.7017120400000159E-2</v>
      </c>
      <c r="I538" s="4">
        <v>-6.2E-2</v>
      </c>
      <c r="J538" s="4">
        <f t="shared" si="296"/>
        <v>0.91517956409638868</v>
      </c>
      <c r="K538" s="40">
        <f t="shared" si="297"/>
        <v>191.51795640963874</v>
      </c>
      <c r="L538" s="36">
        <f>(1+M536)*(1+M537)*(1+M538)-1</f>
        <v>2.4098063245999946E-2</v>
      </c>
      <c r="M538" s="4">
        <v>-2.3800000000000002E-2</v>
      </c>
      <c r="N538" s="4">
        <f t="shared" si="305"/>
        <v>1.6456116515177288</v>
      </c>
      <c r="O538" s="40">
        <f t="shared" si="299"/>
        <v>264.56116515177297</v>
      </c>
    </row>
    <row r="539" spans="1:15" ht="13.5" x14ac:dyDescent="0.25">
      <c r="A539" s="2">
        <v>45688</v>
      </c>
      <c r="B539" s="49">
        <v>7658750.8099999996</v>
      </c>
      <c r="C539" s="6">
        <v>24</v>
      </c>
      <c r="D539" s="37"/>
      <c r="E539" s="4">
        <v>2.3400000000000001E-2</v>
      </c>
      <c r="F539" s="4">
        <f t="shared" si="304"/>
        <v>0.83370334688599379</v>
      </c>
      <c r="G539" s="40">
        <f t="shared" si="295"/>
        <v>183.3703346885994</v>
      </c>
      <c r="H539" s="37"/>
      <c r="I539" s="4">
        <v>2.52E-2</v>
      </c>
      <c r="J539" s="4">
        <f t="shared" si="296"/>
        <v>0.96344208911161755</v>
      </c>
      <c r="K539" s="40">
        <f t="shared" si="297"/>
        <v>196.34420891116162</v>
      </c>
      <c r="L539" s="37"/>
      <c r="M539" s="4">
        <v>2.7799999999999998E-2</v>
      </c>
      <c r="N539" s="4">
        <f t="shared" si="305"/>
        <v>1.7191596554299218</v>
      </c>
      <c r="O539" s="40">
        <f t="shared" si="299"/>
        <v>271.9159655429923</v>
      </c>
    </row>
    <row r="540" spans="1:15" ht="13.5" x14ac:dyDescent="0.25">
      <c r="A540" s="2">
        <v>45716</v>
      </c>
      <c r="B540" s="49">
        <v>7708025.6500000004</v>
      </c>
      <c r="C540" s="6">
        <v>24</v>
      </c>
      <c r="D540" s="37"/>
      <c r="E540" s="4">
        <v>8.2000000000000007E-3</v>
      </c>
      <c r="F540" s="4">
        <f t="shared" si="304"/>
        <v>0.84873971433045892</v>
      </c>
      <c r="G540" s="40">
        <f t="shared" si="295"/>
        <v>184.87397143304591</v>
      </c>
      <c r="H540" s="37"/>
      <c r="I540" s="4">
        <v>8.3000000000000001E-3</v>
      </c>
      <c r="J540" s="4">
        <f t="shared" si="296"/>
        <v>0.97973865845124397</v>
      </c>
      <c r="K540" s="40">
        <f t="shared" si="297"/>
        <v>197.97386584512427</v>
      </c>
      <c r="L540" s="37"/>
      <c r="M540" s="4">
        <v>-1.2999999999999999E-2</v>
      </c>
      <c r="N540" s="4">
        <f t="shared" si="305"/>
        <v>1.6838105799093328</v>
      </c>
      <c r="O540" s="40">
        <f t="shared" si="299"/>
        <v>268.38105799093341</v>
      </c>
    </row>
    <row r="541" spans="1:15" ht="13.5" x14ac:dyDescent="0.25">
      <c r="A541" s="2">
        <v>45747</v>
      </c>
      <c r="B541" s="49">
        <v>7499238.5999999996</v>
      </c>
      <c r="C541" s="6">
        <v>24</v>
      </c>
      <c r="D541" s="36">
        <f>(1+E539)*(1+E540)*(1+E541)-1</f>
        <v>3.9334992399999713E-3</v>
      </c>
      <c r="E541" s="4">
        <v>-2.7E-2</v>
      </c>
      <c r="F541" s="4">
        <f t="shared" si="304"/>
        <v>0.79882374204353646</v>
      </c>
      <c r="G541" s="40">
        <f t="shared" si="295"/>
        <v>179.88237420435365</v>
      </c>
      <c r="H541" s="36">
        <f>(1+I539)*(1+I540)*(1+I541)-1</f>
        <v>6.0057545119998057E-3</v>
      </c>
      <c r="I541" s="4">
        <v>-2.6800000000000001E-2</v>
      </c>
      <c r="J541" s="4">
        <f t="shared" si="296"/>
        <v>0.92668166240475047</v>
      </c>
      <c r="K541" s="40">
        <f t="shared" si="297"/>
        <v>192.66816624047493</v>
      </c>
      <c r="L541" s="36">
        <f>(1+M539)*(1+M540)*(1+M541)-1</f>
        <v>-4.2674293179999934E-2</v>
      </c>
      <c r="M541" s="4">
        <v>-5.6300000000000003E-2</v>
      </c>
      <c r="N541" s="4">
        <f t="shared" si="305"/>
        <v>1.5327120442604372</v>
      </c>
      <c r="O541" s="40">
        <f t="shared" si="299"/>
        <v>253.27120442604385</v>
      </c>
    </row>
    <row r="542" spans="1:15" ht="13.5" x14ac:dyDescent="0.25">
      <c r="A542" s="2">
        <v>45777</v>
      </c>
      <c r="B542" s="49">
        <v>7111173.3700000001</v>
      </c>
      <c r="C542" s="6">
        <v>24</v>
      </c>
      <c r="D542" s="37"/>
      <c r="E542" s="4">
        <v>-5.1299999999999998E-2</v>
      </c>
      <c r="F542" s="4">
        <f t="shared" ref="F542:F547" si="306">(F541+1)*(E542+1)-1</f>
        <v>0.70654408407670299</v>
      </c>
      <c r="G542" s="40">
        <f t="shared" si="295"/>
        <v>170.6544084076703</v>
      </c>
      <c r="H542" s="37"/>
      <c r="I542" s="4">
        <v>-4.9500000000000002E-2</v>
      </c>
      <c r="J542" s="4">
        <f t="shared" si="296"/>
        <v>0.83131092011571539</v>
      </c>
      <c r="K542" s="40">
        <f t="shared" si="297"/>
        <v>183.13109201157141</v>
      </c>
      <c r="L542" s="37"/>
      <c r="M542" s="4">
        <v>-6.7999999999999996E-3</v>
      </c>
      <c r="N542" s="4">
        <f t="shared" ref="N542:N547" si="307">(N541+1)*(M542+1)-1</f>
        <v>1.5154896023594659</v>
      </c>
      <c r="O542" s="40">
        <f t="shared" si="299"/>
        <v>251.54896023594674</v>
      </c>
    </row>
    <row r="543" spans="1:15" ht="13.5" x14ac:dyDescent="0.25">
      <c r="A543" s="2">
        <v>45808</v>
      </c>
      <c r="B543" s="49">
        <v>7314240.7300000004</v>
      </c>
      <c r="C543" s="6">
        <v>24</v>
      </c>
      <c r="D543" s="37"/>
      <c r="E543" s="4">
        <v>2.9700000000000001E-2</v>
      </c>
      <c r="F543" s="4">
        <f t="shared" si="306"/>
        <v>0.75722844337378126</v>
      </c>
      <c r="G543" s="40">
        <f t="shared" si="295"/>
        <v>175.72284433737812</v>
      </c>
      <c r="H543" s="37"/>
      <c r="I543" s="4">
        <v>2.9899999999999999E-2</v>
      </c>
      <c r="J543" s="4">
        <f t="shared" si="296"/>
        <v>0.88606711662717541</v>
      </c>
      <c r="K543" s="40">
        <f t="shared" si="297"/>
        <v>188.6067116627174</v>
      </c>
      <c r="L543" s="37"/>
      <c r="M543" s="4">
        <v>6.2899999999999998E-2</v>
      </c>
      <c r="N543" s="4">
        <f t="shared" si="307"/>
        <v>1.6737138983478763</v>
      </c>
      <c r="O543" s="40">
        <f t="shared" si="299"/>
        <v>267.37138983478775</v>
      </c>
    </row>
    <row r="544" spans="1:15" ht="13.5" x14ac:dyDescent="0.25">
      <c r="A544" s="2">
        <v>45838</v>
      </c>
      <c r="B544" s="49">
        <v>7464813.9500000002</v>
      </c>
      <c r="C544" s="6">
        <v>24</v>
      </c>
      <c r="D544" s="36">
        <f>(1+E542)*(1+E543)*(1+E544)-1</f>
        <v>-2.9022687270000569E-3</v>
      </c>
      <c r="E544" s="4">
        <v>2.07E-2</v>
      </c>
      <c r="F544" s="4">
        <f t="shared" si="306"/>
        <v>0.79360307215161852</v>
      </c>
      <c r="G544" s="40">
        <f t="shared" si="295"/>
        <v>179.36030721516184</v>
      </c>
      <c r="H544" s="36">
        <f>(1+I542)*(1+I543)*(1+I544)-1</f>
        <v>-6.2062304499999055E-4</v>
      </c>
      <c r="I544" s="4">
        <v>2.0899999999999998E-2</v>
      </c>
      <c r="J544" s="4">
        <f t="shared" si="296"/>
        <v>0.92548591936468316</v>
      </c>
      <c r="K544" s="40">
        <f t="shared" si="297"/>
        <v>192.54859193646817</v>
      </c>
      <c r="L544" s="36">
        <f>(1+M542)*(1+M543)*(1+M544)-1</f>
        <v>0.10940599905199999</v>
      </c>
      <c r="M544" s="4">
        <v>5.0900000000000001E-2</v>
      </c>
      <c r="N544" s="4">
        <f t="shared" si="307"/>
        <v>1.8098059357737832</v>
      </c>
      <c r="O544" s="40">
        <f t="shared" si="299"/>
        <v>280.98059357737844</v>
      </c>
    </row>
    <row r="545" spans="1:18" ht="13.5" x14ac:dyDescent="0.25">
      <c r="A545" s="2">
        <v>45869</v>
      </c>
      <c r="B545" s="49">
        <v>7351425.9500000002</v>
      </c>
      <c r="C545" s="6">
        <v>24</v>
      </c>
      <c r="D545" s="37"/>
      <c r="E545" s="4">
        <v>-1.49E-2</v>
      </c>
      <c r="F545" s="4">
        <f t="shared" si="306"/>
        <v>0.76687838637655936</v>
      </c>
      <c r="G545" s="40">
        <f t="shared" si="295"/>
        <v>176.68783863765591</v>
      </c>
      <c r="H545" s="37"/>
      <c r="I545" s="4">
        <v>-1.2999999999999999E-2</v>
      </c>
      <c r="J545" s="4">
        <f t="shared" si="296"/>
        <v>0.90045460241294228</v>
      </c>
      <c r="K545" s="40">
        <f t="shared" si="297"/>
        <v>190.04546024129408</v>
      </c>
      <c r="L545" s="37"/>
      <c r="M545" s="4">
        <v>2.24E-2</v>
      </c>
      <c r="N545" s="4">
        <f t="shared" si="307"/>
        <v>1.8727455887351159</v>
      </c>
      <c r="O545" s="40">
        <f t="shared" si="299"/>
        <v>287.27455887351169</v>
      </c>
    </row>
    <row r="546" spans="1:18" ht="13.5" x14ac:dyDescent="0.25">
      <c r="A546" s="2">
        <v>45900</v>
      </c>
      <c r="B546" s="49">
        <v>7583926.5300000003</v>
      </c>
      <c r="C546" s="6">
        <v>24</v>
      </c>
      <c r="D546" s="37"/>
      <c r="E546" s="4">
        <v>3.1699999999999999E-2</v>
      </c>
      <c r="F546" s="4">
        <f t="shared" si="306"/>
        <v>0.82288843122469646</v>
      </c>
      <c r="G546" s="40">
        <f t="shared" si="295"/>
        <v>182.28884312246961</v>
      </c>
      <c r="H546" s="37"/>
      <c r="I546" s="4">
        <v>3.1899999999999998E-2</v>
      </c>
      <c r="J546" s="4">
        <f t="shared" si="296"/>
        <v>0.96107910422991516</v>
      </c>
      <c r="K546" s="40">
        <f t="shared" si="297"/>
        <v>196.10791042299138</v>
      </c>
      <c r="L546" s="37"/>
      <c r="M546" s="4">
        <v>2.0299999999999999E-2</v>
      </c>
      <c r="N546" s="4">
        <f t="shared" si="307"/>
        <v>1.9310623241864389</v>
      </c>
      <c r="O546" s="40">
        <f t="shared" si="299"/>
        <v>293.10623241864397</v>
      </c>
    </row>
    <row r="547" spans="1:18" ht="13.5" x14ac:dyDescent="0.25">
      <c r="A547" s="2">
        <v>45930</v>
      </c>
      <c r="B547" s="49">
        <v>7205471.8899999997</v>
      </c>
      <c r="C547" s="6">
        <v>23</v>
      </c>
      <c r="D547" s="36">
        <f>(1+E545)*(1+E546)*(1+E547)-1</f>
        <v>1.266889038800012E-2</v>
      </c>
      <c r="E547" s="4">
        <v>-3.5999999999999999E-3</v>
      </c>
      <c r="F547" s="4">
        <f t="shared" si="306"/>
        <v>0.81632603287228744</v>
      </c>
      <c r="G547" s="40">
        <f t="shared" si="295"/>
        <v>181.6326032872287</v>
      </c>
      <c r="H547" s="36">
        <f>(1+I545)*(1+I546)*(1+I547)-1</f>
        <v>1.5022449980000019E-2</v>
      </c>
      <c r="I547" s="4">
        <v>-3.3999999999999998E-3</v>
      </c>
      <c r="J547" s="4">
        <f t="shared" si="296"/>
        <v>0.95441143527553352</v>
      </c>
      <c r="K547" s="40">
        <f t="shared" si="297"/>
        <v>195.44114352755321</v>
      </c>
      <c r="L547" s="36">
        <f>(1+M545)*(1+M546)*(1+M547)-1</f>
        <v>8.1229867280000034E-2</v>
      </c>
      <c r="M547" s="4">
        <v>3.6499999999999998E-2</v>
      </c>
      <c r="N547" s="4">
        <f t="shared" si="307"/>
        <v>2.0380460990192439</v>
      </c>
      <c r="O547" s="40">
        <f t="shared" si="299"/>
        <v>303.80460990192449</v>
      </c>
    </row>
    <row r="548" spans="1:18" ht="13.5" x14ac:dyDescent="0.25">
      <c r="A548" s="2">
        <v>45961</v>
      </c>
      <c r="B548" s="49">
        <v>7061100.7800000003</v>
      </c>
      <c r="C548" s="6">
        <v>23</v>
      </c>
      <c r="D548" s="37"/>
      <c r="E548" s="4">
        <v>-0.02</v>
      </c>
      <c r="F548" s="4">
        <f t="shared" ref="F548:F553" si="308">(F547+1)*(E548+1)-1</f>
        <v>0.77999951221484176</v>
      </c>
      <c r="G548" s="40">
        <f t="shared" ref="G548:G553" si="309">G547*(1+E548)</f>
        <v>177.99995122148414</v>
      </c>
      <c r="H548" s="37"/>
      <c r="I548" s="4">
        <v>-1.8100000000000002E-2</v>
      </c>
      <c r="J548" s="4">
        <f t="shared" ref="J548:J553" si="310">(J547+1)*(I548+1)-1</f>
        <v>0.91903658829704638</v>
      </c>
      <c r="K548" s="40">
        <f t="shared" ref="K548:K553" si="311">K547*(1+I548)</f>
        <v>191.90365882970448</v>
      </c>
      <c r="L548" s="37"/>
      <c r="M548" s="4">
        <v>2.3400000000000001E-2</v>
      </c>
      <c r="N548" s="4">
        <f t="shared" ref="N548:N553" si="312">(N547+1)*(M548+1)-1</f>
        <v>2.1091363777362946</v>
      </c>
      <c r="O548" s="40">
        <f t="shared" ref="O548:O553" si="313">O547*(1+M548)</f>
        <v>310.91363777362955</v>
      </c>
    </row>
    <row r="549" spans="1:18" ht="13.5" x14ac:dyDescent="0.25">
      <c r="A549" s="2">
        <v>45991</v>
      </c>
      <c r="B549" s="49">
        <v>7023574.6200000001</v>
      </c>
      <c r="C549" s="6">
        <v>22</v>
      </c>
      <c r="D549" s="37"/>
      <c r="E549" s="4">
        <v>2.8500000000000001E-2</v>
      </c>
      <c r="F549" s="4">
        <f t="shared" si="308"/>
        <v>0.83072949831296472</v>
      </c>
      <c r="G549" s="40">
        <f t="shared" si="309"/>
        <v>183.07294983129643</v>
      </c>
      <c r="H549" s="37"/>
      <c r="I549" s="4">
        <v>2.86E-2</v>
      </c>
      <c r="J549" s="4">
        <f t="shared" si="310"/>
        <v>0.97392103472234193</v>
      </c>
      <c r="K549" s="40">
        <f t="shared" si="311"/>
        <v>197.39210347223403</v>
      </c>
      <c r="L549" s="37"/>
      <c r="M549" s="4">
        <v>2.5000000000000001E-3</v>
      </c>
      <c r="N549" s="4">
        <f t="shared" si="312"/>
        <v>2.1169092186806351</v>
      </c>
      <c r="O549" s="40">
        <f t="shared" si="313"/>
        <v>311.69092186806358</v>
      </c>
    </row>
    <row r="550" spans="1:18" ht="13.5" x14ac:dyDescent="0.25">
      <c r="A550" s="2">
        <v>46022</v>
      </c>
      <c r="B550" s="49">
        <v>7023531.3799999999</v>
      </c>
      <c r="C550" s="6">
        <v>22</v>
      </c>
      <c r="D550" s="36">
        <f>(1+E548)*(1+E549)*(1+E550)-1</f>
        <v>7.9299999999999926E-3</v>
      </c>
      <c r="E550" s="4">
        <v>0</v>
      </c>
      <c r="F550" s="4">
        <f t="shared" si="308"/>
        <v>0.83072949831296472</v>
      </c>
      <c r="G550" s="40">
        <f t="shared" si="309"/>
        <v>183.07294983129643</v>
      </c>
      <c r="H550" s="36">
        <f>(1+I548)*(1+I549)*(1+I550)-1</f>
        <v>1.0184336467999877E-2</v>
      </c>
      <c r="I550" s="4">
        <v>2.0000000000000001E-4</v>
      </c>
      <c r="J550" s="4">
        <f t="shared" si="310"/>
        <v>0.97431581892928643</v>
      </c>
      <c r="K550" s="40">
        <f t="shared" si="311"/>
        <v>197.43158189292848</v>
      </c>
      <c r="L550" s="36">
        <f>(1+M548)*(1+M549)*(1+M550)-1</f>
        <v>2.6574075099999872E-2</v>
      </c>
      <c r="M550" s="4">
        <v>5.9999999999999995E-4</v>
      </c>
      <c r="N550" s="4">
        <f t="shared" si="312"/>
        <v>2.1187793642118433</v>
      </c>
      <c r="O550" s="40">
        <f t="shared" si="313"/>
        <v>311.87793642118442</v>
      </c>
    </row>
    <row r="551" spans="1:18" ht="13.5" x14ac:dyDescent="0.25">
      <c r="A551" s="2">
        <v>46053</v>
      </c>
      <c r="B551" s="57">
        <v>7426406.9299999997</v>
      </c>
      <c r="C551" s="6">
        <v>22</v>
      </c>
      <c r="D551" s="36"/>
      <c r="E551" s="4">
        <v>5.2299999999999999E-2</v>
      </c>
      <c r="F551" s="4">
        <f t="shared" si="308"/>
        <v>0.92647665107473287</v>
      </c>
      <c r="G551" s="40">
        <f t="shared" si="309"/>
        <v>192.64766510747324</v>
      </c>
      <c r="H551" s="56"/>
      <c r="I551" s="4">
        <v>5.4399999999999997E-2</v>
      </c>
      <c r="J551" s="4">
        <f t="shared" si="310"/>
        <v>1.0817185994790397</v>
      </c>
      <c r="K551" s="40">
        <f t="shared" si="311"/>
        <v>208.17185994790378</v>
      </c>
      <c r="L551" s="36"/>
      <c r="M551" s="4">
        <v>1.4500000000000001E-2</v>
      </c>
      <c r="N551" s="4">
        <f t="shared" si="312"/>
        <v>2.1640016649929148</v>
      </c>
      <c r="O551" s="40">
        <f t="shared" si="313"/>
        <v>316.40016649929157</v>
      </c>
    </row>
    <row r="552" spans="1:18" ht="13.5" x14ac:dyDescent="0.25">
      <c r="A552" s="2">
        <v>46081</v>
      </c>
      <c r="B552" s="57">
        <v>7527063.79</v>
      </c>
      <c r="C552" s="6">
        <v>22</v>
      </c>
      <c r="D552" s="36"/>
      <c r="E552" s="4">
        <v>1.3599999999999999E-2</v>
      </c>
      <c r="F552" s="4">
        <f t="shared" si="308"/>
        <v>0.95267673352934934</v>
      </c>
      <c r="G552" s="40">
        <f t="shared" si="309"/>
        <v>195.26767335293488</v>
      </c>
      <c r="H552" s="56"/>
      <c r="I552" s="4">
        <v>1.37E-2</v>
      </c>
      <c r="J552" s="4">
        <f t="shared" si="310"/>
        <v>1.1102381442919027</v>
      </c>
      <c r="K552" s="40">
        <f t="shared" si="311"/>
        <v>211.02381442919008</v>
      </c>
      <c r="L552" s="36"/>
      <c r="M552" s="4">
        <v>-7.6E-3</v>
      </c>
      <c r="N552" s="4">
        <f t="shared" si="312"/>
        <v>2.1399552523389684</v>
      </c>
      <c r="O552" s="40">
        <f t="shared" si="313"/>
        <v>313.99552523389696</v>
      </c>
    </row>
    <row r="553" spans="1:18" ht="13.5" x14ac:dyDescent="0.25">
      <c r="A553" s="2">
        <v>46112</v>
      </c>
      <c r="B553" s="57">
        <v>7011244.7199999997</v>
      </c>
      <c r="C553" s="6">
        <v>22</v>
      </c>
      <c r="D553" s="36">
        <f>(1+E551)*(1+E552)*(1+E553)-1</f>
        <v>-5.811625911999907E-3</v>
      </c>
      <c r="E553" s="4">
        <v>-6.7900000000000002E-2</v>
      </c>
      <c r="F553" s="4">
        <f t="shared" si="308"/>
        <v>0.82008998332270666</v>
      </c>
      <c r="G553" s="40">
        <f t="shared" si="309"/>
        <v>182.00899833227061</v>
      </c>
      <c r="H553" s="56">
        <f>(1+I551)*(1+I552)*(1+I553)-1</f>
        <v>-3.5155454559998578E-3</v>
      </c>
      <c r="I553" s="4">
        <v>-6.7699999999999996E-2</v>
      </c>
      <c r="J553" s="4">
        <f t="shared" si="310"/>
        <v>0.96737502192334102</v>
      </c>
      <c r="K553" s="40">
        <f t="shared" si="311"/>
        <v>196.73750219233392</v>
      </c>
      <c r="L553" s="36">
        <f>(1+M551)*(1+M552)*(1+M553)-1</f>
        <v>-4.3348332039999993E-2</v>
      </c>
      <c r="M553" s="4">
        <v>-4.9799999999999997E-2</v>
      </c>
      <c r="N553" s="4">
        <f t="shared" si="312"/>
        <v>1.9835854807724878</v>
      </c>
      <c r="O553" s="40">
        <f t="shared" si="313"/>
        <v>298.35854807724888</v>
      </c>
    </row>
    <row r="554" spans="1:18" ht="13.5" x14ac:dyDescent="0.25">
      <c r="A554" s="2">
        <v>46142</v>
      </c>
      <c r="B554" s="57">
        <v>7307884.54</v>
      </c>
      <c r="C554" s="6">
        <v>22</v>
      </c>
      <c r="D554" s="36"/>
      <c r="E554" s="4">
        <v>4.24E-2</v>
      </c>
      <c r="F554" s="4">
        <f t="shared" ref="F554" si="314">(F553+1)*(E554+1)-1</f>
        <v>0.8972617986155893</v>
      </c>
      <c r="G554" s="40">
        <f t="shared" ref="G554" si="315">G553*(1+E554)</f>
        <v>189.72617986155888</v>
      </c>
      <c r="H554" s="56"/>
      <c r="I554" s="4">
        <v>4.4499999999999998E-2</v>
      </c>
      <c r="J554" s="4">
        <f t="shared" ref="J554" si="316">(J553+1)*(I554+1)-1</f>
        <v>1.0549232103989294</v>
      </c>
      <c r="K554" s="40">
        <f t="shared" ref="K554" si="317">K553*(1+I554)</f>
        <v>205.49232103989277</v>
      </c>
      <c r="L554" s="36"/>
      <c r="M554" s="4">
        <v>0.10489999999999999</v>
      </c>
      <c r="N554" s="4">
        <f t="shared" ref="N554" si="318">(N553+1)*(M554+1)-1</f>
        <v>2.2965635977055219</v>
      </c>
      <c r="O554" s="40">
        <f t="shared" ref="O554" si="319">O553*(1+M554)</f>
        <v>329.65635977055229</v>
      </c>
    </row>
    <row r="555" spans="1:18" ht="13.5" x14ac:dyDescent="0.25">
      <c r="A555" s="2">
        <v>46173</v>
      </c>
      <c r="B555" s="57">
        <v>7324084.7599999998</v>
      </c>
      <c r="C555" s="6">
        <v>22</v>
      </c>
      <c r="D555" s="36"/>
      <c r="E555" s="4">
        <v>3.5999999999999999E-3</v>
      </c>
      <c r="F555" s="4">
        <f t="shared" ref="F555" si="320">(F554+1)*(E555+1)-1</f>
        <v>0.90409194109060542</v>
      </c>
      <c r="G555" s="40">
        <f t="shared" ref="G555" si="321">G554*(1+E555)</f>
        <v>190.40919410906051</v>
      </c>
      <c r="H555" s="56"/>
      <c r="I555" s="4">
        <v>3.7000000000000002E-3</v>
      </c>
      <c r="J555" s="4">
        <f t="shared" ref="J555" si="322">(J554+1)*(I555+1)-1</f>
        <v>1.0625264262774055</v>
      </c>
      <c r="K555" s="40">
        <f t="shared" ref="K555" si="323">K554*(1+I555)</f>
        <v>206.25264262774039</v>
      </c>
      <c r="L555" s="36"/>
      <c r="M555" s="4">
        <v>5.2600000000000001E-2</v>
      </c>
      <c r="N555" s="4">
        <f t="shared" ref="N555" si="324">(N554+1)*(M555+1)-1</f>
        <v>2.4699628429448324</v>
      </c>
      <c r="O555" s="40">
        <f t="shared" ref="O555" si="325">O554*(1+M555)</f>
        <v>346.9962842944833</v>
      </c>
    </row>
    <row r="556" spans="1:18" ht="13.5" x14ac:dyDescent="0.25">
      <c r="A556" s="2">
        <v>46203</v>
      </c>
      <c r="B556" s="57">
        <v>7442926.8799999999</v>
      </c>
      <c r="C556" s="6">
        <v>22</v>
      </c>
      <c r="D556" s="36">
        <f>(1+E554)*(1+E555)*(1+E556)-1</f>
        <v>6.31003127680001E-2</v>
      </c>
      <c r="E556" s="4">
        <v>1.6199999999999999E-2</v>
      </c>
      <c r="F556" s="4">
        <f t="shared" ref="F556:F558" si="326">(F555+1)*(E556+1)-1</f>
        <v>0.93493823053627323</v>
      </c>
      <c r="G556" s="40">
        <f t="shared" ref="G556:G558" si="327">G555*(1+E556)</f>
        <v>193.4938230536273</v>
      </c>
      <c r="H556" s="56">
        <f>(1+I554)*(1+I555)*(1+I556)-1</f>
        <v>6.5662666724999985E-2</v>
      </c>
      <c r="I556" s="4">
        <v>1.6500000000000001E-2</v>
      </c>
      <c r="J556" s="4">
        <f t="shared" ref="J556:J558" si="328">(J555+1)*(I556+1)-1</f>
        <v>1.0965581123109827</v>
      </c>
      <c r="K556" s="40">
        <f t="shared" ref="K556:K558" si="329">K555*(1+I556)</f>
        <v>209.65581123109808</v>
      </c>
      <c r="L556" s="36">
        <f>(1+M554)*(1+M555)*(1+M556)-1</f>
        <v>0.15196907146999994</v>
      </c>
      <c r="M556" s="4">
        <v>-9.4999999999999998E-3</v>
      </c>
      <c r="N556" s="4">
        <f t="shared" ref="N556:N558" si="330">(N555+1)*(M556+1)-1</f>
        <v>2.4369981959368565</v>
      </c>
      <c r="O556" s="40">
        <f t="shared" ref="O556:O558" si="331">O555*(1+M556)</f>
        <v>343.69981959368573</v>
      </c>
    </row>
    <row r="557" spans="1:18" ht="13.5" x14ac:dyDescent="0.25">
      <c r="A557" s="2">
        <v>46234</v>
      </c>
      <c r="B557" s="57">
        <v>7371326.8799999999</v>
      </c>
      <c r="C557" s="6">
        <v>21</v>
      </c>
      <c r="D557" s="36"/>
      <c r="E557" s="4">
        <v>3.95E-2</v>
      </c>
      <c r="F557" s="4">
        <f t="shared" si="326"/>
        <v>1.0113682906424564</v>
      </c>
      <c r="G557" s="40">
        <f t="shared" si="327"/>
        <v>201.1368290642456</v>
      </c>
      <c r="H557" s="56"/>
      <c r="I557" s="4">
        <v>4.1500000000000002E-2</v>
      </c>
      <c r="J557" s="4">
        <f t="shared" si="328"/>
        <v>1.1835652739718885</v>
      </c>
      <c r="K557" s="40">
        <f t="shared" si="329"/>
        <v>218.35652739718867</v>
      </c>
      <c r="L557" s="36"/>
      <c r="M557" s="4">
        <v>-5.9999999999999995E-4</v>
      </c>
      <c r="N557" s="4">
        <f t="shared" si="330"/>
        <v>2.4349359970192941</v>
      </c>
      <c r="O557" s="40">
        <f t="shared" si="331"/>
        <v>343.4935997019295</v>
      </c>
    </row>
    <row r="558" spans="1:18" ht="13.5" x14ac:dyDescent="0.25">
      <c r="A558" s="2">
        <v>46265</v>
      </c>
      <c r="B558" s="57">
        <v>7706961.04</v>
      </c>
      <c r="C558" s="6">
        <v>23</v>
      </c>
      <c r="D558" s="36"/>
      <c r="E558" s="4">
        <v>1.9900000000000001E-2</v>
      </c>
      <c r="F558" s="4">
        <f t="shared" si="326"/>
        <v>1.0513945196262413</v>
      </c>
      <c r="G558" s="40">
        <f t="shared" si="327"/>
        <v>205.13945196262409</v>
      </c>
      <c r="H558" s="56"/>
      <c r="I558" s="4">
        <v>0.02</v>
      </c>
      <c r="J558" s="4">
        <f t="shared" si="328"/>
        <v>1.2272365794513265</v>
      </c>
      <c r="K558" s="40">
        <f t="shared" si="329"/>
        <v>222.72365794513246</v>
      </c>
      <c r="L558" s="36"/>
      <c r="M558" s="4">
        <v>2.7199999999999998E-2</v>
      </c>
      <c r="N558" s="4">
        <f t="shared" si="330"/>
        <v>2.5283662561382183</v>
      </c>
      <c r="O558" s="40">
        <f t="shared" si="331"/>
        <v>352.83662561382192</v>
      </c>
    </row>
    <row r="559" spans="1:18" ht="13.5" x14ac:dyDescent="0.25">
      <c r="A559" s="2">
        <v>46295</v>
      </c>
      <c r="B559" s="57">
        <v>7096139.9400000004</v>
      </c>
      <c r="C559" s="6">
        <v>21</v>
      </c>
      <c r="D559" s="36">
        <f>(1+E557)*(1+E558)*(1+E559)-1</f>
        <v>3.0420219050002473E-3</v>
      </c>
      <c r="E559" s="4">
        <v>-5.3900000000000003E-2</v>
      </c>
      <c r="F559" s="4">
        <f t="shared" ref="F559" si="332">(F558+1)*(E559+1)-1</f>
        <v>0.94082435501838679</v>
      </c>
      <c r="G559" s="40">
        <f t="shared" ref="G559" si="333">G558*(1+E559)</f>
        <v>194.08243550183863</v>
      </c>
      <c r="H559" s="56">
        <f>(1+I557)*(1+I558)*(1+I559)-1</f>
        <v>5.2828790000001291E-3</v>
      </c>
      <c r="I559" s="4">
        <v>-5.3699999999999998E-2</v>
      </c>
      <c r="J559" s="4">
        <f t="shared" ref="J559" si="334">(J558+1)*(I559+1)-1</f>
        <v>1.1076339751347901</v>
      </c>
      <c r="K559" s="40">
        <f t="shared" ref="K559" si="335">K558*(1+I559)</f>
        <v>210.76339751347885</v>
      </c>
      <c r="L559" s="36">
        <f>(1+M557)*(1+M558)*(1+M559)-1</f>
        <v>2.2990637119999935E-2</v>
      </c>
      <c r="M559" s="4">
        <v>-3.5000000000000001E-3</v>
      </c>
      <c r="N559" s="4">
        <f t="shared" ref="N559" si="336">(N558+1)*(M559+1)-1</f>
        <v>2.5160169742417349</v>
      </c>
      <c r="O559" s="40">
        <f t="shared" ref="O559" si="337">O558*(1+M559)</f>
        <v>351.60169742417355</v>
      </c>
    </row>
    <row r="560" spans="1:18" ht="13.5" x14ac:dyDescent="0.25">
      <c r="A560" s="2"/>
      <c r="B560" s="3"/>
      <c r="C560" s="6"/>
      <c r="D560" s="36"/>
      <c r="E560" s="4"/>
      <c r="F560" s="4"/>
      <c r="G560" s="4"/>
      <c r="H560" s="35"/>
      <c r="I560" s="4"/>
      <c r="J560" s="4"/>
      <c r="K560" s="12"/>
      <c r="M560" s="4"/>
      <c r="N560" s="4"/>
      <c r="Q560" s="4"/>
      <c r="R560" s="4"/>
    </row>
    <row r="561" spans="1:18" ht="13.5" x14ac:dyDescent="0.25">
      <c r="A561" s="2"/>
      <c r="B561" s="3"/>
      <c r="C561" s="6"/>
      <c r="D561" s="36"/>
      <c r="E561" s="4"/>
      <c r="F561" s="4"/>
      <c r="G561" s="4"/>
      <c r="H561" s="35"/>
      <c r="I561" s="4"/>
      <c r="J561" s="4"/>
      <c r="K561" s="12"/>
      <c r="M561" s="4"/>
      <c r="N561" s="4"/>
      <c r="Q561" s="4"/>
      <c r="R561" s="4"/>
    </row>
    <row r="562" spans="1:18" ht="15" x14ac:dyDescent="0.25">
      <c r="A562" s="11" t="s">
        <v>96</v>
      </c>
      <c r="B562" s="1"/>
      <c r="C562" s="1"/>
      <c r="D562" s="32"/>
      <c r="E562" s="1"/>
      <c r="F562" s="1"/>
      <c r="G562" s="1"/>
      <c r="H562" s="32"/>
      <c r="I562" s="1"/>
      <c r="J562" s="1"/>
      <c r="K562" s="13"/>
      <c r="M562" s="1"/>
      <c r="N562" s="1"/>
      <c r="Q562" s="1"/>
      <c r="R562" s="1"/>
    </row>
    <row r="563" spans="1:18" ht="40.5" x14ac:dyDescent="0.25">
      <c r="A563" s="7" t="s">
        <v>26</v>
      </c>
      <c r="B563" s="7" t="s">
        <v>1</v>
      </c>
      <c r="C563" s="7" t="s">
        <v>2</v>
      </c>
      <c r="D563" s="33" t="s">
        <v>55</v>
      </c>
      <c r="E563" s="7" t="s">
        <v>54</v>
      </c>
      <c r="F563" s="7" t="s">
        <v>5</v>
      </c>
      <c r="G563" s="7" t="s">
        <v>59</v>
      </c>
      <c r="H563" s="33" t="s">
        <v>52</v>
      </c>
      <c r="I563" s="7" t="s">
        <v>53</v>
      </c>
      <c r="J563" s="7" t="s">
        <v>4</v>
      </c>
      <c r="K563" s="14" t="s">
        <v>60</v>
      </c>
      <c r="L563" s="7" t="s">
        <v>57</v>
      </c>
      <c r="M563" s="7" t="s">
        <v>56</v>
      </c>
      <c r="N563" s="7" t="s">
        <v>71</v>
      </c>
      <c r="O563" s="7" t="s">
        <v>70</v>
      </c>
    </row>
    <row r="564" spans="1:18" ht="13.5" x14ac:dyDescent="0.25">
      <c r="A564" s="2">
        <v>46022</v>
      </c>
      <c r="B564" s="49">
        <v>0</v>
      </c>
      <c r="C564" s="6">
        <v>0</v>
      </c>
      <c r="D564" s="37"/>
      <c r="E564" s="4"/>
      <c r="F564" s="20">
        <v>1</v>
      </c>
      <c r="G564" s="41">
        <v>100</v>
      </c>
      <c r="H564" s="34"/>
      <c r="I564" s="4"/>
      <c r="J564" s="20">
        <v>1</v>
      </c>
      <c r="K564" s="41">
        <v>100</v>
      </c>
      <c r="M564" s="4"/>
      <c r="N564" s="20">
        <v>1</v>
      </c>
      <c r="O564" s="41">
        <v>100</v>
      </c>
    </row>
    <row r="565" spans="1:18" ht="13.5" x14ac:dyDescent="0.25">
      <c r="A565" s="2">
        <v>46053</v>
      </c>
      <c r="B565" s="49">
        <v>1997028.87</v>
      </c>
      <c r="C565" s="6">
        <v>1</v>
      </c>
      <c r="D565" s="36"/>
      <c r="E565" s="4">
        <v>6.08E-2</v>
      </c>
      <c r="F565" s="4">
        <f>(F564)*(E565+1)</f>
        <v>1.0608</v>
      </c>
      <c r="G565" s="40">
        <f>G564*(1+E565)</f>
        <v>106.08</v>
      </c>
      <c r="H565" s="56"/>
      <c r="I565" s="4">
        <v>6.3600000000000004E-2</v>
      </c>
      <c r="J565" s="4">
        <f>(J564)*(I565+1)</f>
        <v>1.0636000000000001</v>
      </c>
      <c r="K565" s="40">
        <f>K564*(1+I565)</f>
        <v>106.36000000000001</v>
      </c>
      <c r="L565" s="36"/>
      <c r="M565" s="4">
        <v>1.4500000000000001E-2</v>
      </c>
      <c r="N565" s="4">
        <f>(N564)*(M565+1)</f>
        <v>1.0145</v>
      </c>
      <c r="O565" s="40">
        <f>O564*(1+M565)</f>
        <v>101.44999999999999</v>
      </c>
    </row>
    <row r="566" spans="1:18" ht="13.5" x14ac:dyDescent="0.25">
      <c r="A566" s="2">
        <v>46081</v>
      </c>
      <c r="B566" s="49">
        <v>2063141.53</v>
      </c>
      <c r="C566" s="6">
        <v>1</v>
      </c>
      <c r="D566" s="36"/>
      <c r="E566" s="4">
        <v>3.3099999999999997E-2</v>
      </c>
      <c r="F566" s="4">
        <f>(E565+1)*(E566+1)-1</f>
        <v>9.5912479999999967E-2</v>
      </c>
      <c r="G566" s="40">
        <f>G565*(1+E566)</f>
        <v>109.59124799999999</v>
      </c>
      <c r="H566" s="56"/>
      <c r="I566" s="4">
        <v>3.3099999999999997E-2</v>
      </c>
      <c r="J566" s="4">
        <f>(I565+1)*(I566+1)-1</f>
        <v>9.8805159999999947E-2</v>
      </c>
      <c r="K566" s="40">
        <f>K565*(1+I566)</f>
        <v>109.880516</v>
      </c>
      <c r="L566" s="36"/>
      <c r="M566" s="4">
        <v>-7.6E-3</v>
      </c>
      <c r="N566" s="4">
        <f>(M565+1)*(M566+1)-1</f>
        <v>6.789799999999957E-3</v>
      </c>
      <c r="O566" s="40">
        <f>O565*(1+M566)</f>
        <v>100.67897999999998</v>
      </c>
    </row>
    <row r="567" spans="1:18" ht="13.5" x14ac:dyDescent="0.25">
      <c r="A567" s="2">
        <v>46112</v>
      </c>
      <c r="B567" s="49">
        <v>1987882.38</v>
      </c>
      <c r="C567" s="6">
        <v>1</v>
      </c>
      <c r="D567" s="36">
        <f>(1+E565)*(1+E566)*(1+E567)-1</f>
        <v>5.5911674479999895E-2</v>
      </c>
      <c r="E567" s="4">
        <v>-3.6499999999999998E-2</v>
      </c>
      <c r="F567" s="4">
        <f t="shared" ref="F567:F573" si="338">(F566+1)*(E567+1)-1</f>
        <v>5.5911674479999895E-2</v>
      </c>
      <c r="G567" s="40">
        <f t="shared" ref="G567" si="339">G566*(1+E567)</f>
        <v>105.59116744799999</v>
      </c>
      <c r="H567" s="36">
        <f>(1+I565)*(1+I566)*(1+I567)-1</f>
        <v>5.8698771660000038E-2</v>
      </c>
      <c r="I567" s="4">
        <v>-3.6499999999999998E-2</v>
      </c>
      <c r="J567" s="4">
        <f t="shared" ref="J567:J573" si="340">(J566+1)*(I567+1)-1</f>
        <v>5.8698771660000038E-2</v>
      </c>
      <c r="K567" s="40">
        <f t="shared" ref="K567" si="341">K566*(1+I567)</f>
        <v>105.86987716600001</v>
      </c>
      <c r="L567" s="36">
        <f>(1+M565)*(1+M566)*(1+M567)-1</f>
        <v>-4.3348332039999993E-2</v>
      </c>
      <c r="M567" s="4">
        <v>-4.9799999999999997E-2</v>
      </c>
      <c r="N567" s="4">
        <f t="shared" ref="N567:N573" si="342">(N566+1)*(M567+1)-1</f>
        <v>-4.3348332039999993E-2</v>
      </c>
      <c r="O567" s="40">
        <f t="shared" ref="O567" si="343">O566*(1+M567)</f>
        <v>95.66516679599998</v>
      </c>
    </row>
    <row r="568" spans="1:18" ht="13.5" x14ac:dyDescent="0.25">
      <c r="A568" s="2">
        <v>46142</v>
      </c>
      <c r="B568" s="49">
        <v>2074800.47</v>
      </c>
      <c r="C568" s="6">
        <v>1</v>
      </c>
      <c r="D568" s="36"/>
      <c r="E568" s="4">
        <v>4.3700000000000003E-2</v>
      </c>
      <c r="F568" s="4">
        <f t="shared" si="338"/>
        <v>0.10205501465477607</v>
      </c>
      <c r="G568" s="40">
        <f t="shared" ref="G568" si="344">G567*(1+E568)</f>
        <v>110.2055014654776</v>
      </c>
      <c r="H568" s="36"/>
      <c r="I568" s="4">
        <v>4.6600000000000003E-2</v>
      </c>
      <c r="J568" s="4">
        <f t="shared" si="340"/>
        <v>0.10803413441935605</v>
      </c>
      <c r="K568" s="40">
        <f t="shared" ref="K568" si="345">K567*(1+I568)</f>
        <v>110.8034134419356</v>
      </c>
      <c r="L568" s="36"/>
      <c r="M568" s="4">
        <v>0.10489999999999999</v>
      </c>
      <c r="N568" s="4">
        <f t="shared" si="342"/>
        <v>5.7004427929004065E-2</v>
      </c>
      <c r="O568" s="40">
        <f t="shared" ref="O568" si="346">O567*(1+M568)</f>
        <v>105.70044279290038</v>
      </c>
    </row>
    <row r="569" spans="1:18" ht="13.5" x14ac:dyDescent="0.25">
      <c r="A569" s="2">
        <v>46173</v>
      </c>
      <c r="B569" s="49">
        <v>2037405.79</v>
      </c>
      <c r="C569" s="6">
        <v>1</v>
      </c>
      <c r="D569" s="36"/>
      <c r="E569" s="4">
        <v>6.1000000000000004E-3</v>
      </c>
      <c r="F569" s="4">
        <f t="shared" si="338"/>
        <v>0.10877755024417013</v>
      </c>
      <c r="G569" s="40">
        <f t="shared" ref="G569" si="347">G568*(1+E569)</f>
        <v>110.87775502441701</v>
      </c>
      <c r="H569" s="36"/>
      <c r="I569" s="4">
        <v>6.1000000000000004E-3</v>
      </c>
      <c r="J569" s="4">
        <f t="shared" si="340"/>
        <v>0.11479314263931406</v>
      </c>
      <c r="K569" s="40">
        <f t="shared" ref="K569" si="348">K568*(1+I569)</f>
        <v>111.47931426393141</v>
      </c>
      <c r="L569" s="36"/>
      <c r="M569" s="4">
        <v>5.2600000000000001E-2</v>
      </c>
      <c r="N569" s="4">
        <f t="shared" si="342"/>
        <v>0.11260286083806959</v>
      </c>
      <c r="O569" s="40">
        <f t="shared" ref="O569" si="349">O568*(1+M569)</f>
        <v>111.26028608380693</v>
      </c>
    </row>
    <row r="570" spans="1:18" ht="13.5" x14ac:dyDescent="0.25">
      <c r="A570" s="2">
        <v>46203</v>
      </c>
      <c r="B570" s="49">
        <v>2050363.74</v>
      </c>
      <c r="C570" s="6">
        <v>1</v>
      </c>
      <c r="D570" s="36">
        <f>(1+E568)*(1+E569)*(1+E570)-1</f>
        <v>5.6786996048000082E-2</v>
      </c>
      <c r="E570" s="4">
        <v>6.4000000000000003E-3</v>
      </c>
      <c r="F570" s="4">
        <f t="shared" si="338"/>
        <v>0.1158737265657328</v>
      </c>
      <c r="G570" s="40">
        <f t="shared" ref="G570:G572" si="350">G569*(1+E570)</f>
        <v>111.58737265657328</v>
      </c>
      <c r="H570" s="36">
        <f>(1+I568)*(1+I569)*(1+I570)-1</f>
        <v>5.9723359263999853E-2</v>
      </c>
      <c r="I570" s="4">
        <v>6.4000000000000003E-3</v>
      </c>
      <c r="J570" s="4">
        <f t="shared" si="340"/>
        <v>0.12192781875220571</v>
      </c>
      <c r="K570" s="40">
        <f t="shared" ref="K570:K572" si="351">K569*(1+I570)</f>
        <v>112.19278187522058</v>
      </c>
      <c r="L570" s="36">
        <f>(1+M568)*(1+M569)*(1+M570)-1</f>
        <v>0.15196907146999994</v>
      </c>
      <c r="M570" s="4">
        <v>-9.4999999999999998E-3</v>
      </c>
      <c r="N570" s="4">
        <f t="shared" si="342"/>
        <v>0.10203313366010791</v>
      </c>
      <c r="O570" s="40">
        <f t="shared" ref="O570:O572" si="352">O569*(1+M570)</f>
        <v>110.20331336601078</v>
      </c>
    </row>
    <row r="571" spans="1:18" ht="13.5" x14ac:dyDescent="0.25">
      <c r="A571" s="2">
        <v>46234</v>
      </c>
      <c r="B571" s="49">
        <v>2082947.26</v>
      </c>
      <c r="C571" s="6">
        <v>1</v>
      </c>
      <c r="D571" s="36"/>
      <c r="E571" s="4">
        <v>2.58E-2</v>
      </c>
      <c r="F571" s="4">
        <f t="shared" si="338"/>
        <v>0.14466326871112867</v>
      </c>
      <c r="G571" s="40">
        <f t="shared" si="350"/>
        <v>114.46632687111287</v>
      </c>
      <c r="H571" s="36"/>
      <c r="I571" s="4">
        <v>2.8500000000000001E-2</v>
      </c>
      <c r="J571" s="4">
        <f t="shared" si="340"/>
        <v>0.15390276158664351</v>
      </c>
      <c r="K571" s="40">
        <f t="shared" si="351"/>
        <v>115.39027615866436</v>
      </c>
      <c r="L571" s="36"/>
      <c r="M571" s="4">
        <f>M164</f>
        <v>-5.9999999999999995E-4</v>
      </c>
      <c r="N571" s="4">
        <f t="shared" si="342"/>
        <v>0.10137191377991184</v>
      </c>
      <c r="O571" s="40">
        <f t="shared" si="352"/>
        <v>110.13719137799116</v>
      </c>
    </row>
    <row r="572" spans="1:18" ht="13.5" x14ac:dyDescent="0.25">
      <c r="A572" s="2">
        <v>46265</v>
      </c>
      <c r="B572" s="49">
        <v>2145940.58</v>
      </c>
      <c r="C572" s="6">
        <v>1</v>
      </c>
      <c r="D572" s="36"/>
      <c r="E572" s="4">
        <v>3.2399999999999998E-2</v>
      </c>
      <c r="F572" s="4">
        <f t="shared" si="338"/>
        <v>0.18175035861736921</v>
      </c>
      <c r="G572" s="40">
        <f t="shared" si="350"/>
        <v>118.17503586173693</v>
      </c>
      <c r="H572" s="36"/>
      <c r="I572" s="4">
        <v>3.2399999999999998E-2</v>
      </c>
      <c r="J572" s="4">
        <f t="shared" si="340"/>
        <v>0.19128921106205077</v>
      </c>
      <c r="K572" s="40">
        <f t="shared" si="351"/>
        <v>119.12892110620508</v>
      </c>
      <c r="L572" s="36"/>
      <c r="M572" s="4">
        <f>M165</f>
        <v>2.7199999999999998E-2</v>
      </c>
      <c r="N572" s="4">
        <f t="shared" si="342"/>
        <v>0.13132922983472528</v>
      </c>
      <c r="O572" s="40">
        <f t="shared" si="352"/>
        <v>113.13292298347251</v>
      </c>
    </row>
    <row r="573" spans="1:18" ht="13.5" x14ac:dyDescent="0.25">
      <c r="A573" s="2">
        <v>46295</v>
      </c>
      <c r="B573" s="49">
        <v>2067433.49</v>
      </c>
      <c r="C573" s="6">
        <v>1</v>
      </c>
      <c r="D573" s="36">
        <f>(1+E571)*(1+E572)*(1+E573)-1</f>
        <v>2.0275205328000201E-2</v>
      </c>
      <c r="E573" s="4">
        <v>-3.6600000000000001E-2</v>
      </c>
      <c r="F573" s="4">
        <f t="shared" si="338"/>
        <v>0.13849829549197357</v>
      </c>
      <c r="G573" s="40">
        <f t="shared" ref="G573" si="353">G572*(1+E573)</f>
        <v>113.84982954919737</v>
      </c>
      <c r="H573" s="36">
        <f>(1+I571)*(1+I572)*(1+I573)-1</f>
        <v>2.2960663559999928E-2</v>
      </c>
      <c r="I573" s="4">
        <v>-3.6600000000000001E-2</v>
      </c>
      <c r="J573" s="4">
        <f t="shared" si="340"/>
        <v>0.14768802593717978</v>
      </c>
      <c r="K573" s="40">
        <f t="shared" ref="K573" si="354">K572*(1+I573)</f>
        <v>114.76880259371798</v>
      </c>
      <c r="L573" s="36">
        <f>(1+M571)*(1+M572)*(1+M573)-1</f>
        <v>2.2990637119999935E-2</v>
      </c>
      <c r="M573" s="4">
        <f>M166</f>
        <v>-3.5000000000000001E-3</v>
      </c>
      <c r="N573" s="4">
        <f t="shared" si="342"/>
        <v>0.12736957753030387</v>
      </c>
      <c r="O573" s="40">
        <f t="shared" ref="O573" si="355">O572*(1+M573)</f>
        <v>112.73695775303037</v>
      </c>
    </row>
    <row r="574" spans="1:18" ht="13.5" x14ac:dyDescent="0.25">
      <c r="A574" s="1"/>
      <c r="B574" s="1"/>
      <c r="C574" s="1"/>
      <c r="D574" s="32"/>
      <c r="E574" s="1"/>
      <c r="F574" s="1"/>
      <c r="G574" s="1"/>
      <c r="H574" s="32"/>
      <c r="I574" s="1"/>
      <c r="J574" s="1"/>
      <c r="K574" s="13"/>
      <c r="M574" s="1"/>
      <c r="N574" s="1"/>
    </row>
    <row r="575" spans="1:18" ht="13.5" x14ac:dyDescent="0.25">
      <c r="A575" s="1"/>
      <c r="B575" s="1"/>
      <c r="C575" s="1"/>
      <c r="D575" s="32"/>
      <c r="E575" s="1"/>
      <c r="F575" s="1"/>
      <c r="G575" s="1"/>
      <c r="H575" s="32"/>
      <c r="I575" s="1"/>
      <c r="J575" s="1"/>
      <c r="K575" s="13"/>
      <c r="M575" s="1"/>
      <c r="N575" s="1"/>
    </row>
    <row r="576" spans="1:18" ht="15" x14ac:dyDescent="0.25">
      <c r="A576" s="11" t="s">
        <v>10</v>
      </c>
      <c r="B576" s="1"/>
      <c r="C576" s="1"/>
      <c r="D576" s="32"/>
      <c r="E576" s="1"/>
      <c r="F576" s="1"/>
      <c r="G576" s="1"/>
      <c r="H576" s="32"/>
      <c r="I576" s="1"/>
      <c r="J576" s="1"/>
      <c r="K576" s="13"/>
      <c r="M576" s="1"/>
      <c r="N576" s="1"/>
    </row>
    <row r="577" spans="1:15" ht="40.5" x14ac:dyDescent="0.25">
      <c r="A577" s="7" t="s">
        <v>26</v>
      </c>
      <c r="B577" s="7" t="s">
        <v>1</v>
      </c>
      <c r="C577" s="7" t="s">
        <v>2</v>
      </c>
      <c r="D577" s="33" t="s">
        <v>55</v>
      </c>
      <c r="E577" s="7" t="s">
        <v>54</v>
      </c>
      <c r="F577" s="7" t="s">
        <v>5</v>
      </c>
      <c r="G577" s="7" t="s">
        <v>59</v>
      </c>
      <c r="H577" s="33" t="s">
        <v>52</v>
      </c>
      <c r="I577" s="7" t="s">
        <v>53</v>
      </c>
      <c r="J577" s="7" t="s">
        <v>4</v>
      </c>
      <c r="K577" s="14" t="s">
        <v>60</v>
      </c>
      <c r="L577" s="7" t="s">
        <v>69</v>
      </c>
      <c r="M577" s="7" t="s">
        <v>68</v>
      </c>
      <c r="N577" s="7" t="s">
        <v>67</v>
      </c>
      <c r="O577" s="7" t="s">
        <v>66</v>
      </c>
    </row>
    <row r="578" spans="1:15" ht="13.5" x14ac:dyDescent="0.25">
      <c r="A578" s="2">
        <v>40359</v>
      </c>
      <c r="B578" s="49">
        <v>0</v>
      </c>
      <c r="C578" s="6">
        <v>0</v>
      </c>
      <c r="D578" s="44"/>
      <c r="E578" s="4"/>
      <c r="F578" s="20">
        <v>1</v>
      </c>
      <c r="G578" s="41">
        <v>100</v>
      </c>
      <c r="H578" s="44"/>
      <c r="I578" s="4"/>
      <c r="J578" s="20">
        <v>1</v>
      </c>
      <c r="K578" s="41">
        <v>100</v>
      </c>
      <c r="L578" s="44"/>
      <c r="M578" s="4"/>
      <c r="N578" s="20">
        <v>1</v>
      </c>
      <c r="O578" s="41">
        <v>100</v>
      </c>
    </row>
    <row r="579" spans="1:15" ht="13.5" x14ac:dyDescent="0.25">
      <c r="A579" s="2">
        <v>40451</v>
      </c>
      <c r="B579" s="49">
        <v>10416082.289999999</v>
      </c>
      <c r="C579" s="6">
        <v>15</v>
      </c>
      <c r="D579" s="44">
        <f>E579</f>
        <v>8.6099999999999996E-2</v>
      </c>
      <c r="E579" s="4">
        <v>8.6099999999999996E-2</v>
      </c>
      <c r="F579" s="4">
        <f>(F578)*(E579+1)</f>
        <v>1.0861000000000001</v>
      </c>
      <c r="G579" s="41">
        <f>G578*(1+E579)</f>
        <v>108.61000000000001</v>
      </c>
      <c r="H579" s="44">
        <f>I579</f>
        <v>8.8700000000000001E-2</v>
      </c>
      <c r="I579" s="4">
        <v>8.8700000000000001E-2</v>
      </c>
      <c r="J579" s="4">
        <f>(J578)*(I579+1)</f>
        <v>1.0887</v>
      </c>
      <c r="K579" s="41">
        <f>K578*(1+I579)</f>
        <v>108.87</v>
      </c>
      <c r="L579" s="44">
        <f>M579</f>
        <v>7.7759999999999996E-2</v>
      </c>
      <c r="M579" s="4">
        <v>7.7759999999999996E-2</v>
      </c>
      <c r="N579" s="4">
        <f>(N578)*(M579+1)</f>
        <v>1.0777600000000001</v>
      </c>
      <c r="O579" s="41">
        <f>O578*(1+M579)</f>
        <v>107.77600000000001</v>
      </c>
    </row>
    <row r="580" spans="1:15" ht="13.5" x14ac:dyDescent="0.25">
      <c r="A580" s="2">
        <v>40543</v>
      </c>
      <c r="B580" s="49">
        <v>17936102.780000001</v>
      </c>
      <c r="C580" s="6">
        <v>25</v>
      </c>
      <c r="D580" s="44">
        <f>E580</f>
        <v>4.7177810000000001E-2</v>
      </c>
      <c r="E580" s="4">
        <v>4.7177810000000001E-2</v>
      </c>
      <c r="F580" s="4">
        <f>(E579+1)*(E580+1)-1</f>
        <v>0.13733981944100004</v>
      </c>
      <c r="G580" s="40">
        <f>G579*(1+E580)</f>
        <v>113.73398194410001</v>
      </c>
      <c r="H580" s="44">
        <f>I580</f>
        <v>4.9853679999999997E-2</v>
      </c>
      <c r="I580" s="4">
        <v>4.9853679999999997E-2</v>
      </c>
      <c r="J580" s="4">
        <f>(I579+1)*(I580+1)-1</f>
        <v>0.14297570141600002</v>
      </c>
      <c r="K580" s="40">
        <f>K579*(1+I580)</f>
        <v>114.2975701416</v>
      </c>
      <c r="L580" s="44">
        <f>M580</f>
        <v>6.6279999999999992E-2</v>
      </c>
      <c r="M580" s="4">
        <v>6.6279999999999992E-2</v>
      </c>
      <c r="N580" s="4">
        <f>(M579+1)*(M580+1)-1</f>
        <v>0.14919393280000004</v>
      </c>
      <c r="O580" s="40">
        <f>O579*(1+M580)</f>
        <v>114.91939327999999</v>
      </c>
    </row>
    <row r="581" spans="1:15" ht="13.5" x14ac:dyDescent="0.25">
      <c r="A581" s="2">
        <v>40633</v>
      </c>
      <c r="B581" s="49">
        <v>22668713.390000001</v>
      </c>
      <c r="C581" s="6">
        <v>32</v>
      </c>
      <c r="D581" s="44">
        <f t="shared" ref="D581:D595" si="356">E581</f>
        <v>3.9E-2</v>
      </c>
      <c r="E581" s="4">
        <v>3.9E-2</v>
      </c>
      <c r="F581" s="4">
        <f t="shared" ref="F581:F586" si="357">(F580+1)*(E581+1)-1</f>
        <v>0.18169607239919894</v>
      </c>
      <c r="G581" s="40">
        <f t="shared" ref="G581:G644" si="358">G580*(1+E581)</f>
        <v>118.1696072399199</v>
      </c>
      <c r="H581" s="44">
        <f t="shared" ref="H581:H595" si="359">I581</f>
        <v>4.1977710000000001E-2</v>
      </c>
      <c r="I581" s="4">
        <v>4.1977710000000001E-2</v>
      </c>
      <c r="J581" s="4">
        <f t="shared" ref="J581:J612" si="360">(J580+1)*(I581+1)-1</f>
        <v>0.19095520394708743</v>
      </c>
      <c r="K581" s="40">
        <f t="shared" ref="K581:K644" si="361">K580*(1+I581)</f>
        <v>119.09552039470876</v>
      </c>
      <c r="L581" s="44">
        <f t="shared" ref="L581:L595" si="362">M581</f>
        <v>4.4659999999999998E-2</v>
      </c>
      <c r="M581" s="4">
        <v>4.4659999999999998E-2</v>
      </c>
      <c r="N581" s="4">
        <f t="shared" ref="N581:N586" si="363">(N580+1)*(M581+1)-1</f>
        <v>0.20051693383884794</v>
      </c>
      <c r="O581" s="40">
        <f t="shared" ref="O581:O644" si="364">O580*(1+M581)</f>
        <v>120.05169338388478</v>
      </c>
    </row>
    <row r="582" spans="1:15" ht="13.5" x14ac:dyDescent="0.25">
      <c r="A582" s="2">
        <v>40724</v>
      </c>
      <c r="B582" s="49">
        <v>22929328.510000002</v>
      </c>
      <c r="C582" s="6">
        <v>32</v>
      </c>
      <c r="D582" s="44">
        <f t="shared" si="356"/>
        <v>1.7500000000000002E-2</v>
      </c>
      <c r="E582" s="4">
        <v>1.7500000000000002E-2</v>
      </c>
      <c r="F582" s="4">
        <f t="shared" si="357"/>
        <v>0.20237575366618499</v>
      </c>
      <c r="G582" s="40">
        <f t="shared" si="358"/>
        <v>120.2375753666185</v>
      </c>
      <c r="H582" s="44">
        <f t="shared" si="359"/>
        <v>2.0118870000000001E-2</v>
      </c>
      <c r="I582" s="4">
        <v>2.0118870000000001E-2</v>
      </c>
      <c r="J582" s="4">
        <f t="shared" si="360"/>
        <v>0.21491587687112235</v>
      </c>
      <c r="K582" s="40">
        <f t="shared" si="361"/>
        <v>121.49158768711224</v>
      </c>
      <c r="L582" s="44">
        <f t="shared" si="362"/>
        <v>1.5880000000000002E-2</v>
      </c>
      <c r="M582" s="4">
        <v>1.5880000000000002E-2</v>
      </c>
      <c r="N582" s="4">
        <f t="shared" si="363"/>
        <v>0.21958114274820861</v>
      </c>
      <c r="O582" s="40">
        <f t="shared" si="364"/>
        <v>121.95811427482086</v>
      </c>
    </row>
    <row r="583" spans="1:15" ht="13.5" x14ac:dyDescent="0.25">
      <c r="A583" s="2">
        <v>40816</v>
      </c>
      <c r="B583" s="49">
        <v>22178956.879999999</v>
      </c>
      <c r="C583" s="6">
        <v>34</v>
      </c>
      <c r="D583" s="44">
        <f t="shared" si="356"/>
        <v>-6.3399999999999998E-2</v>
      </c>
      <c r="E583" s="4">
        <v>-6.3399999999999998E-2</v>
      </c>
      <c r="F583" s="4">
        <f t="shared" si="357"/>
        <v>0.1261451308837489</v>
      </c>
      <c r="G583" s="40">
        <f t="shared" si="358"/>
        <v>112.61451308837489</v>
      </c>
      <c r="H583" s="44">
        <f t="shared" si="359"/>
        <v>-6.0902270000000001E-2</v>
      </c>
      <c r="I583" s="4">
        <v>-6.0902270000000001E-2</v>
      </c>
      <c r="J583" s="4">
        <f t="shared" si="360"/>
        <v>0.14092474211063055</v>
      </c>
      <c r="K583" s="40">
        <f t="shared" si="361"/>
        <v>114.09247421106305</v>
      </c>
      <c r="L583" s="44">
        <f t="shared" si="362"/>
        <v>-7.8739999999999991E-2</v>
      </c>
      <c r="M583" s="4">
        <v>-7.8739999999999991E-2</v>
      </c>
      <c r="N583" s="4">
        <f t="shared" si="363"/>
        <v>0.12355132356821463</v>
      </c>
      <c r="O583" s="40">
        <f t="shared" si="364"/>
        <v>112.35513235682146</v>
      </c>
    </row>
    <row r="584" spans="1:15" ht="13.5" x14ac:dyDescent="0.25">
      <c r="A584" s="2">
        <v>40908</v>
      </c>
      <c r="B584" s="49">
        <v>23377450.190000001</v>
      </c>
      <c r="C584" s="6">
        <v>34</v>
      </c>
      <c r="D584" s="44">
        <f t="shared" si="356"/>
        <v>6.93E-2</v>
      </c>
      <c r="E584" s="4">
        <v>6.93E-2</v>
      </c>
      <c r="F584" s="4">
        <f t="shared" si="357"/>
        <v>0.20418698845399263</v>
      </c>
      <c r="G584" s="40">
        <f t="shared" si="358"/>
        <v>120.41869884539926</v>
      </c>
      <c r="H584" s="44">
        <f t="shared" si="359"/>
        <v>7.2109679999999995E-2</v>
      </c>
      <c r="I584" s="4">
        <v>7.2109679999999995E-2</v>
      </c>
      <c r="J584" s="4">
        <f t="shared" si="360"/>
        <v>0.22319646016831074</v>
      </c>
      <c r="K584" s="40">
        <f t="shared" si="361"/>
        <v>122.31964601683107</v>
      </c>
      <c r="L584" s="44">
        <f t="shared" si="362"/>
        <v>6.3479999999999981E-2</v>
      </c>
      <c r="M584" s="4">
        <v>6.3479999999999981E-2</v>
      </c>
      <c r="N584" s="4">
        <f t="shared" si="363"/>
        <v>0.19487436158832483</v>
      </c>
      <c r="O584" s="40">
        <f t="shared" si="364"/>
        <v>119.48743615883248</v>
      </c>
    </row>
    <row r="585" spans="1:15" ht="13.5" x14ac:dyDescent="0.25">
      <c r="A585" s="2">
        <v>40999</v>
      </c>
      <c r="B585" s="49">
        <v>24325135.649999999</v>
      </c>
      <c r="C585" s="6">
        <v>34</v>
      </c>
      <c r="D585" s="44">
        <f t="shared" si="356"/>
        <v>4.3400000000000001E-2</v>
      </c>
      <c r="E585" s="4">
        <v>4.3400000000000001E-2</v>
      </c>
      <c r="F585" s="4">
        <f t="shared" si="357"/>
        <v>0.25644870375289597</v>
      </c>
      <c r="G585" s="40">
        <f t="shared" si="358"/>
        <v>125.6448703752896</v>
      </c>
      <c r="H585" s="44">
        <f t="shared" si="359"/>
        <v>4.6122709999999997E-2</v>
      </c>
      <c r="I585" s="4">
        <v>4.6122709999999997E-2</v>
      </c>
      <c r="J585" s="4">
        <f t="shared" si="360"/>
        <v>0.27961359577368006</v>
      </c>
      <c r="K585" s="40">
        <f t="shared" si="361"/>
        <v>127.96135957736801</v>
      </c>
      <c r="L585" s="44">
        <f t="shared" si="362"/>
        <v>8.3719999999999989E-2</v>
      </c>
      <c r="M585" s="4">
        <v>8.3719999999999989E-2</v>
      </c>
      <c r="N585" s="4">
        <f t="shared" si="363"/>
        <v>0.29490924314049938</v>
      </c>
      <c r="O585" s="40">
        <f t="shared" si="364"/>
        <v>129.49092431404995</v>
      </c>
    </row>
    <row r="586" spans="1:15" ht="13.5" x14ac:dyDescent="0.25">
      <c r="A586" s="2">
        <v>41090</v>
      </c>
      <c r="B586" s="49">
        <v>24366865.920000002</v>
      </c>
      <c r="C586" s="6">
        <v>36</v>
      </c>
      <c r="D586" s="44">
        <f t="shared" si="356"/>
        <v>-8.6999999999999994E-3</v>
      </c>
      <c r="E586" s="4">
        <v>-8.6999999999999994E-3</v>
      </c>
      <c r="F586" s="4">
        <f t="shared" si="357"/>
        <v>0.2455176000302457</v>
      </c>
      <c r="G586" s="40">
        <f t="shared" si="358"/>
        <v>124.55176000302457</v>
      </c>
      <c r="H586" s="44">
        <f t="shared" si="359"/>
        <v>-6.0700299999999997E-3</v>
      </c>
      <c r="I586" s="4">
        <v>-6.0700299999999997E-3</v>
      </c>
      <c r="J586" s="4">
        <f t="shared" si="360"/>
        <v>0.27184630285892597</v>
      </c>
      <c r="K586" s="40">
        <f t="shared" si="361"/>
        <v>127.18463028589261</v>
      </c>
      <c r="L586" s="44">
        <f t="shared" si="362"/>
        <v>-1.018E-2</v>
      </c>
      <c r="M586" s="4">
        <v>-1.018E-2</v>
      </c>
      <c r="N586" s="4">
        <f t="shared" si="363"/>
        <v>0.28172706704532913</v>
      </c>
      <c r="O586" s="40">
        <f t="shared" si="364"/>
        <v>128.17270670453291</v>
      </c>
    </row>
    <row r="587" spans="1:15" ht="13.5" x14ac:dyDescent="0.25">
      <c r="A587" s="2">
        <v>41182</v>
      </c>
      <c r="B587" s="49">
        <v>24357893.109999999</v>
      </c>
      <c r="C587" s="6">
        <v>35</v>
      </c>
      <c r="D587" s="44">
        <f t="shared" si="356"/>
        <v>3.2099999999999997E-2</v>
      </c>
      <c r="E587" s="4">
        <v>3.2099999999999997E-2</v>
      </c>
      <c r="F587" s="4">
        <f t="shared" ref="F587:F592" si="365">(F586+1)*(E587+1)-1</f>
        <v>0.28549871499121671</v>
      </c>
      <c r="G587" s="40">
        <f t="shared" si="358"/>
        <v>128.54987149912165</v>
      </c>
      <c r="H587" s="44">
        <f t="shared" si="359"/>
        <v>3.4811269999999998E-2</v>
      </c>
      <c r="I587" s="4">
        <v>3.4811269999999998E-2</v>
      </c>
      <c r="J587" s="4">
        <f t="shared" si="360"/>
        <v>0.31612088790624981</v>
      </c>
      <c r="K587" s="40">
        <f t="shared" si="361"/>
        <v>131.61208879062499</v>
      </c>
      <c r="L587" s="44">
        <f t="shared" si="362"/>
        <v>3.8980000000000001E-2</v>
      </c>
      <c r="M587" s="4">
        <v>3.8980000000000001E-2</v>
      </c>
      <c r="N587" s="4">
        <f t="shared" ref="N587:N592" si="366">(N586+1)*(M587+1)-1</f>
        <v>0.33168878811875602</v>
      </c>
      <c r="O587" s="40">
        <f t="shared" si="364"/>
        <v>133.1688788118756</v>
      </c>
    </row>
    <row r="588" spans="1:15" ht="13.5" x14ac:dyDescent="0.25">
      <c r="A588" s="2">
        <v>41274</v>
      </c>
      <c r="B588" s="49">
        <v>27037748.289999999</v>
      </c>
      <c r="C588" s="6">
        <v>37</v>
      </c>
      <c r="D588" s="44">
        <f t="shared" si="356"/>
        <v>-1.1999999999999999E-3</v>
      </c>
      <c r="E588" s="4">
        <v>-1.1999999999999999E-3</v>
      </c>
      <c r="F588" s="4">
        <f t="shared" si="365"/>
        <v>0.28395611653322717</v>
      </c>
      <c r="G588" s="40">
        <f t="shared" si="358"/>
        <v>128.3956116533227</v>
      </c>
      <c r="H588" s="44">
        <f t="shared" si="359"/>
        <v>1.1884599999999999E-3</v>
      </c>
      <c r="I588" s="4">
        <v>1.1884599999999999E-3</v>
      </c>
      <c r="J588" s="4">
        <f t="shared" si="360"/>
        <v>0.31768504493669103</v>
      </c>
      <c r="K588" s="40">
        <f t="shared" si="361"/>
        <v>131.7685044936691</v>
      </c>
      <c r="L588" s="44">
        <f t="shared" si="362"/>
        <v>-2.7599999999999999E-3</v>
      </c>
      <c r="M588" s="4">
        <v>-2.7599999999999999E-3</v>
      </c>
      <c r="N588" s="4">
        <f t="shared" si="366"/>
        <v>0.32801332706354835</v>
      </c>
      <c r="O588" s="40">
        <f t="shared" si="364"/>
        <v>132.80133270635483</v>
      </c>
    </row>
    <row r="589" spans="1:15" ht="13.5" x14ac:dyDescent="0.25">
      <c r="A589" s="2">
        <v>41364</v>
      </c>
      <c r="B589" s="49">
        <v>29118258.609999999</v>
      </c>
      <c r="C589" s="6">
        <v>37</v>
      </c>
      <c r="D589" s="44">
        <f t="shared" si="356"/>
        <v>4.7800000000000002E-2</v>
      </c>
      <c r="E589" s="4">
        <v>4.7800000000000002E-2</v>
      </c>
      <c r="F589" s="4">
        <f t="shared" si="365"/>
        <v>0.34532921890351553</v>
      </c>
      <c r="G589" s="40">
        <f t="shared" si="358"/>
        <v>134.53292189035153</v>
      </c>
      <c r="H589" s="44">
        <f t="shared" si="359"/>
        <v>5.0517720000000002E-2</v>
      </c>
      <c r="I589" s="4">
        <v>5.0517720000000002E-2</v>
      </c>
      <c r="J589" s="4">
        <f t="shared" si="360"/>
        <v>0.38425148908499018</v>
      </c>
      <c r="K589" s="40">
        <f t="shared" si="361"/>
        <v>138.42514890849901</v>
      </c>
      <c r="L589" s="44">
        <f t="shared" si="362"/>
        <v>5.4379999999999998E-2</v>
      </c>
      <c r="M589" s="4">
        <v>5.4379999999999998E-2</v>
      </c>
      <c r="N589" s="4">
        <f t="shared" si="366"/>
        <v>0.40023069178926418</v>
      </c>
      <c r="O589" s="40">
        <f t="shared" si="364"/>
        <v>140.02306917892642</v>
      </c>
    </row>
    <row r="590" spans="1:15" ht="13.5" x14ac:dyDescent="0.25">
      <c r="A590" s="2">
        <v>41455</v>
      </c>
      <c r="B590" s="49">
        <v>27671697.239999998</v>
      </c>
      <c r="C590" s="6">
        <v>35</v>
      </c>
      <c r="D590" s="44">
        <f t="shared" si="356"/>
        <v>-5.7999999999999996E-3</v>
      </c>
      <c r="E590" s="4">
        <v>-5.7999999999999996E-3</v>
      </c>
      <c r="F590" s="4">
        <f t="shared" si="365"/>
        <v>0.33752630943387518</v>
      </c>
      <c r="G590" s="40">
        <f t="shared" si="358"/>
        <v>133.75263094338749</v>
      </c>
      <c r="H590" s="44">
        <f t="shared" si="359"/>
        <v>-3.21083E-3</v>
      </c>
      <c r="I590" s="4">
        <v>-3.21083E-3</v>
      </c>
      <c r="J590" s="4">
        <f t="shared" si="360"/>
        <v>0.37980689287629144</v>
      </c>
      <c r="K590" s="40">
        <f t="shared" si="361"/>
        <v>137.98068928762913</v>
      </c>
      <c r="L590" s="44">
        <f t="shared" si="362"/>
        <v>1.9740000000000001E-2</v>
      </c>
      <c r="M590" s="4">
        <v>1.9740000000000001E-2</v>
      </c>
      <c r="N590" s="4">
        <f t="shared" si="366"/>
        <v>0.42787124564518431</v>
      </c>
      <c r="O590" s="40">
        <f t="shared" si="364"/>
        <v>142.78712456451845</v>
      </c>
    </row>
    <row r="591" spans="1:15" ht="13.5" x14ac:dyDescent="0.25">
      <c r="A591" s="2">
        <v>41547</v>
      </c>
      <c r="B591" s="49">
        <v>24555345.43</v>
      </c>
      <c r="C591" s="6">
        <v>31</v>
      </c>
      <c r="D591" s="44">
        <f t="shared" si="356"/>
        <v>2.6100000000000002E-2</v>
      </c>
      <c r="E591" s="4">
        <v>2.6100000000000002E-2</v>
      </c>
      <c r="F591" s="4">
        <f t="shared" si="365"/>
        <v>0.37243574611009933</v>
      </c>
      <c r="G591" s="40">
        <f t="shared" si="358"/>
        <v>137.2435746110099</v>
      </c>
      <c r="H591" s="44">
        <f t="shared" si="359"/>
        <v>2.8809399999999999E-2</v>
      </c>
      <c r="I591" s="4">
        <v>2.8809399999999999E-2</v>
      </c>
      <c r="J591" s="4">
        <f t="shared" si="360"/>
        <v>0.41955830157592189</v>
      </c>
      <c r="K591" s="40">
        <f t="shared" si="361"/>
        <v>141.95583015759217</v>
      </c>
      <c r="L591" s="44">
        <f t="shared" si="362"/>
        <v>3.0880000000000001E-2</v>
      </c>
      <c r="M591" s="4">
        <v>3.0880000000000001E-2</v>
      </c>
      <c r="N591" s="4">
        <f t="shared" si="366"/>
        <v>0.47196390971070756</v>
      </c>
      <c r="O591" s="40">
        <f t="shared" si="364"/>
        <v>147.19639097107077</v>
      </c>
    </row>
    <row r="592" spans="1:15" ht="13.5" x14ac:dyDescent="0.25">
      <c r="A592" s="2">
        <v>41639</v>
      </c>
      <c r="B592" s="49">
        <v>37000244.75</v>
      </c>
      <c r="C592" s="6">
        <v>34</v>
      </c>
      <c r="D592" s="44">
        <f t="shared" si="356"/>
        <v>4.3999999999999997E-2</v>
      </c>
      <c r="E592" s="4">
        <v>4.3999999999999997E-2</v>
      </c>
      <c r="F592" s="4">
        <f t="shared" si="365"/>
        <v>0.43282291893894365</v>
      </c>
      <c r="G592" s="40">
        <f t="shared" si="358"/>
        <v>143.28229189389435</v>
      </c>
      <c r="H592" s="44">
        <f t="shared" si="359"/>
        <v>4.6570750000000001E-2</v>
      </c>
      <c r="I592" s="4">
        <v>4.6570750000000001E-2</v>
      </c>
      <c r="J592" s="4">
        <f t="shared" si="360"/>
        <v>0.48566819634903879</v>
      </c>
      <c r="K592" s="40">
        <f t="shared" si="361"/>
        <v>148.56681963490388</v>
      </c>
      <c r="L592" s="44">
        <f t="shared" si="362"/>
        <v>7.0419999999999996E-2</v>
      </c>
      <c r="M592" s="4">
        <v>7.0419999999999996E-2</v>
      </c>
      <c r="N592" s="4">
        <f t="shared" si="366"/>
        <v>0.57561960823253555</v>
      </c>
      <c r="O592" s="40">
        <f t="shared" si="364"/>
        <v>157.56196082325357</v>
      </c>
    </row>
    <row r="593" spans="1:15" ht="13.5" x14ac:dyDescent="0.25">
      <c r="A593" s="2">
        <v>41729</v>
      </c>
      <c r="B593" s="49">
        <v>36528895.07</v>
      </c>
      <c r="C593" s="6">
        <v>33</v>
      </c>
      <c r="D593" s="44">
        <f t="shared" si="356"/>
        <v>1.67E-2</v>
      </c>
      <c r="E593" s="4">
        <v>1.67E-2</v>
      </c>
      <c r="F593" s="4">
        <f t="shared" ref="F593:F598" si="367">(F592+1)*(E593+1)-1</f>
        <v>0.45675106168522395</v>
      </c>
      <c r="G593" s="40">
        <f t="shared" si="358"/>
        <v>145.67510616852238</v>
      </c>
      <c r="H593" s="44">
        <f t="shared" si="359"/>
        <v>1.9349160000000001E-2</v>
      </c>
      <c r="I593" s="4">
        <v>1.9349160000000001E-2</v>
      </c>
      <c r="J593" s="4">
        <f t="shared" si="360"/>
        <v>0.5144146279871078</v>
      </c>
      <c r="K593" s="40">
        <f t="shared" si="361"/>
        <v>151.44146279871077</v>
      </c>
      <c r="L593" s="44">
        <f t="shared" si="362"/>
        <v>1.8959999999999998E-2</v>
      </c>
      <c r="M593" s="4">
        <v>1.8959999999999998E-2</v>
      </c>
      <c r="N593" s="4">
        <f t="shared" ref="N593:N598" si="368">(N592+1)*(M593+1)-1</f>
        <v>0.60549335600462451</v>
      </c>
      <c r="O593" s="40">
        <f t="shared" si="364"/>
        <v>160.54933560046248</v>
      </c>
    </row>
    <row r="594" spans="1:15" ht="13.5" x14ac:dyDescent="0.25">
      <c r="A594" s="2">
        <v>41820</v>
      </c>
      <c r="B594" s="49">
        <v>57947745.289999999</v>
      </c>
      <c r="C594" s="6">
        <v>43</v>
      </c>
      <c r="D594" s="44">
        <f t="shared" si="356"/>
        <v>4.3099999999999999E-2</v>
      </c>
      <c r="E594" s="4">
        <v>4.3099999999999999E-2</v>
      </c>
      <c r="F594" s="4">
        <f t="shared" si="367"/>
        <v>0.51953703244385707</v>
      </c>
      <c r="G594" s="40">
        <f t="shared" si="358"/>
        <v>151.95370324438568</v>
      </c>
      <c r="H594" s="44">
        <f t="shared" si="359"/>
        <v>4.5100080000000001E-2</v>
      </c>
      <c r="I594" s="4">
        <v>4.5100080000000001E-2</v>
      </c>
      <c r="J594" s="4">
        <f t="shared" si="360"/>
        <v>0.58271484886249669</v>
      </c>
      <c r="K594" s="40">
        <f t="shared" si="361"/>
        <v>158.27148488624968</v>
      </c>
      <c r="L594" s="44">
        <f t="shared" si="362"/>
        <v>3.2080000000000004E-2</v>
      </c>
      <c r="M594" s="4">
        <v>3.2080000000000004E-2</v>
      </c>
      <c r="N594" s="4">
        <f t="shared" si="368"/>
        <v>0.656997582865253</v>
      </c>
      <c r="O594" s="40">
        <f t="shared" si="364"/>
        <v>165.69975828652534</v>
      </c>
    </row>
    <row r="595" spans="1:15" ht="13.5" x14ac:dyDescent="0.25">
      <c r="A595" s="2">
        <v>41912</v>
      </c>
      <c r="B595" s="49">
        <v>43975439.789999999</v>
      </c>
      <c r="C595" s="6">
        <v>41</v>
      </c>
      <c r="D595" s="44">
        <f t="shared" si="356"/>
        <v>-2.01E-2</v>
      </c>
      <c r="E595" s="4">
        <v>-2.01E-2</v>
      </c>
      <c r="F595" s="4">
        <f t="shared" si="367"/>
        <v>0.48899433809173543</v>
      </c>
      <c r="G595" s="40">
        <f t="shared" si="358"/>
        <v>148.89943380917353</v>
      </c>
      <c r="H595" s="44">
        <f t="shared" si="359"/>
        <v>-1.84E-2</v>
      </c>
      <c r="I595" s="4">
        <v>-1.84E-2</v>
      </c>
      <c r="J595" s="4">
        <f t="shared" si="360"/>
        <v>0.55359289564342684</v>
      </c>
      <c r="K595" s="40">
        <f t="shared" si="361"/>
        <v>155.3592895643427</v>
      </c>
      <c r="L595" s="44">
        <f t="shared" si="362"/>
        <v>1.0699999999999999E-2</v>
      </c>
      <c r="M595" s="4">
        <v>1.0699999999999999E-2</v>
      </c>
      <c r="N595" s="4">
        <f t="shared" si="368"/>
        <v>0.67472745700191106</v>
      </c>
      <c r="O595" s="40">
        <f t="shared" si="364"/>
        <v>167.47274570019115</v>
      </c>
    </row>
    <row r="596" spans="1:15" ht="13.5" x14ac:dyDescent="0.25">
      <c r="A596" s="2">
        <v>41943</v>
      </c>
      <c r="B596" s="49">
        <v>43561327.109999999</v>
      </c>
      <c r="C596" s="6">
        <v>38</v>
      </c>
      <c r="D596" s="37"/>
      <c r="E596" s="4">
        <v>1.26E-2</v>
      </c>
      <c r="F596" s="4">
        <f t="shared" si="367"/>
        <v>0.50775566675169115</v>
      </c>
      <c r="G596" s="40">
        <f t="shared" si="358"/>
        <v>150.7755666751691</v>
      </c>
      <c r="H596" s="37"/>
      <c r="I596" s="4">
        <v>1.3100000000000001E-2</v>
      </c>
      <c r="J596" s="4">
        <f t="shared" si="360"/>
        <v>0.57394496257635597</v>
      </c>
      <c r="K596" s="40">
        <f t="shared" si="361"/>
        <v>157.39449625763561</v>
      </c>
      <c r="L596" s="37"/>
      <c r="M596" s="4">
        <v>1.7480000000000002E-2</v>
      </c>
      <c r="N596" s="4">
        <f t="shared" si="368"/>
        <v>0.70400169295030435</v>
      </c>
      <c r="O596" s="40">
        <f t="shared" si="364"/>
        <v>170.40016929503048</v>
      </c>
    </row>
    <row r="597" spans="1:15" ht="13.5" x14ac:dyDescent="0.25">
      <c r="A597" s="2">
        <v>41973</v>
      </c>
      <c r="B597" s="49">
        <v>44726695.869999997</v>
      </c>
      <c r="C597" s="6">
        <v>41</v>
      </c>
      <c r="D597" s="37"/>
      <c r="E597" s="4">
        <v>1.2800000000000001E-2</v>
      </c>
      <c r="F597" s="4">
        <f t="shared" si="367"/>
        <v>0.52705493928611258</v>
      </c>
      <c r="G597" s="40">
        <f t="shared" si="358"/>
        <v>152.70549392861125</v>
      </c>
      <c r="H597" s="37"/>
      <c r="I597" s="4">
        <v>1.2999999999999999E-2</v>
      </c>
      <c r="J597" s="4">
        <f t="shared" si="360"/>
        <v>0.59440624708984835</v>
      </c>
      <c r="K597" s="40">
        <f t="shared" si="361"/>
        <v>159.44062470898484</v>
      </c>
      <c r="L597" s="37"/>
      <c r="M597" s="4">
        <v>1.6499999999999997E-2</v>
      </c>
      <c r="N597" s="4">
        <f t="shared" si="368"/>
        <v>0.73211772088398419</v>
      </c>
      <c r="O597" s="40">
        <f t="shared" si="364"/>
        <v>173.21177208839848</v>
      </c>
    </row>
    <row r="598" spans="1:15" ht="13.5" x14ac:dyDescent="0.25">
      <c r="A598" s="2">
        <v>42004</v>
      </c>
      <c r="B598" s="49">
        <v>40137547.43</v>
      </c>
      <c r="C598" s="6">
        <v>41</v>
      </c>
      <c r="D598" s="36">
        <f>(1+E596)*(1+E597)*(1+E598)-1</f>
        <v>1.8177238783999794E-2</v>
      </c>
      <c r="E598" s="4">
        <v>-7.1999999999999998E-3</v>
      </c>
      <c r="F598" s="4">
        <f t="shared" si="367"/>
        <v>0.5160601437232526</v>
      </c>
      <c r="G598" s="40">
        <f t="shared" si="358"/>
        <v>151.60601437232526</v>
      </c>
      <c r="H598" s="36">
        <f>(1+I596)*(1+I597)*(1+I598)-1</f>
        <v>1.9907424139999907E-2</v>
      </c>
      <c r="I598" s="4">
        <v>-6.1999999999999998E-3</v>
      </c>
      <c r="J598" s="4">
        <f t="shared" si="360"/>
        <v>0.58452092835789138</v>
      </c>
      <c r="K598" s="40">
        <f t="shared" si="361"/>
        <v>158.45209283578913</v>
      </c>
      <c r="L598" s="36">
        <f>(1+M596)*(1+M597)*(1+M598)-1</f>
        <v>3.3089354001199833E-2</v>
      </c>
      <c r="M598" s="4">
        <v>-1.14E-3</v>
      </c>
      <c r="N598" s="4">
        <f t="shared" si="368"/>
        <v>0.73014310668217641</v>
      </c>
      <c r="O598" s="40">
        <f t="shared" si="364"/>
        <v>173.01431066821769</v>
      </c>
    </row>
    <row r="599" spans="1:15" ht="13.5" x14ac:dyDescent="0.25">
      <c r="A599" s="2">
        <v>42035</v>
      </c>
      <c r="B599" s="49">
        <v>38212948.579999998</v>
      </c>
      <c r="C599" s="6">
        <v>38</v>
      </c>
      <c r="D599" s="37"/>
      <c r="E599" s="4">
        <v>-2.7400000000000001E-2</v>
      </c>
      <c r="F599" s="4">
        <f t="shared" ref="F599:F604" si="369">(F598+1)*(E599+1)-1</f>
        <v>0.47452009578523557</v>
      </c>
      <c r="G599" s="40">
        <f t="shared" si="358"/>
        <v>147.45200957852356</v>
      </c>
      <c r="H599" s="37"/>
      <c r="I599" s="4">
        <v>-2.69E-2</v>
      </c>
      <c r="J599" s="4">
        <f t="shared" si="360"/>
        <v>0.54189731538506414</v>
      </c>
      <c r="K599" s="40">
        <f t="shared" si="361"/>
        <v>154.18973153850641</v>
      </c>
      <c r="L599" s="37"/>
      <c r="M599" s="4">
        <v>-9.5999999999999974E-3</v>
      </c>
      <c r="N599" s="4">
        <f t="shared" ref="N599:N604" si="370">(N598+1)*(M599+1)-1</f>
        <v>0.71353373285802735</v>
      </c>
      <c r="O599" s="40">
        <f t="shared" si="364"/>
        <v>171.3533732858028</v>
      </c>
    </row>
    <row r="600" spans="1:15" ht="13.5" x14ac:dyDescent="0.25">
      <c r="A600" s="2">
        <v>42063</v>
      </c>
      <c r="B600" s="49">
        <v>39781152.299999997</v>
      </c>
      <c r="C600" s="6">
        <v>37</v>
      </c>
      <c r="D600" s="37"/>
      <c r="E600" s="4">
        <v>4.8500000000000001E-2</v>
      </c>
      <c r="F600" s="4">
        <f t="shared" si="369"/>
        <v>0.54603432043081956</v>
      </c>
      <c r="G600" s="40">
        <f t="shared" si="358"/>
        <v>154.60343204308194</v>
      </c>
      <c r="H600" s="37"/>
      <c r="I600" s="4">
        <v>4.8800000000000003E-2</v>
      </c>
      <c r="J600" s="4">
        <f t="shared" si="360"/>
        <v>0.61714190437585525</v>
      </c>
      <c r="K600" s="40">
        <f t="shared" si="361"/>
        <v>161.7141904375855</v>
      </c>
      <c r="L600" s="37"/>
      <c r="M600" s="4">
        <v>3.0740000000000003E-2</v>
      </c>
      <c r="N600" s="4">
        <f t="shared" si="370"/>
        <v>0.76620775980608302</v>
      </c>
      <c r="O600" s="40">
        <f t="shared" si="364"/>
        <v>176.62077598060839</v>
      </c>
    </row>
    <row r="601" spans="1:15" ht="13.5" x14ac:dyDescent="0.25">
      <c r="A601" s="2">
        <v>42094</v>
      </c>
      <c r="B601" s="49">
        <v>38893890.719999999</v>
      </c>
      <c r="C601" s="6">
        <v>37</v>
      </c>
      <c r="D601" s="36">
        <f>(1+E599)*(1+E600)*(1+E601)-1</f>
        <v>4.9844190500001329E-3</v>
      </c>
      <c r="E601" s="4">
        <v>-1.4500000000000001E-2</v>
      </c>
      <c r="F601" s="4">
        <f t="shared" si="369"/>
        <v>0.52361682278457278</v>
      </c>
      <c r="G601" s="40">
        <f t="shared" si="358"/>
        <v>152.36168227845727</v>
      </c>
      <c r="H601" s="36">
        <f>(1+I599)*(1+I600)*(1+I601)-1</f>
        <v>6.9114104479999217E-3</v>
      </c>
      <c r="I601" s="4">
        <v>-1.34E-2</v>
      </c>
      <c r="J601" s="4">
        <f t="shared" si="360"/>
        <v>0.5954722028572188</v>
      </c>
      <c r="K601" s="40">
        <f t="shared" si="361"/>
        <v>159.54722028572186</v>
      </c>
      <c r="L601" s="36">
        <f>(1+M599)*(1+M600)*(1+M601)-1</f>
        <v>1.3045640994559848E-2</v>
      </c>
      <c r="M601" s="4">
        <v>-7.640000000000001E-3</v>
      </c>
      <c r="N601" s="4">
        <f t="shared" si="370"/>
        <v>0.75271393252116447</v>
      </c>
      <c r="O601" s="40">
        <f t="shared" si="364"/>
        <v>175.27139325211655</v>
      </c>
    </row>
    <row r="602" spans="1:15" ht="13.5" x14ac:dyDescent="0.25">
      <c r="A602" s="2">
        <v>42124</v>
      </c>
      <c r="B602" s="49">
        <v>36374065.009999998</v>
      </c>
      <c r="C602" s="6">
        <v>37</v>
      </c>
      <c r="D602" s="37"/>
      <c r="E602" s="4">
        <v>1.3299999999999999E-2</v>
      </c>
      <c r="F602" s="4">
        <f t="shared" si="369"/>
        <v>0.54388092652760767</v>
      </c>
      <c r="G602" s="40">
        <f t="shared" si="358"/>
        <v>154.38809265276078</v>
      </c>
      <c r="H602" s="37"/>
      <c r="I602" s="4">
        <v>1.3899999999999999E-2</v>
      </c>
      <c r="J602" s="4">
        <f t="shared" si="360"/>
        <v>0.61764926647693419</v>
      </c>
      <c r="K602" s="40">
        <f t="shared" si="361"/>
        <v>161.76492664769341</v>
      </c>
      <c r="L602" s="37"/>
      <c r="M602" s="4">
        <v>4.3199999999999992E-3</v>
      </c>
      <c r="N602" s="4">
        <f t="shared" si="370"/>
        <v>0.76028565670965609</v>
      </c>
      <c r="O602" s="40">
        <f t="shared" si="364"/>
        <v>176.02856567096572</v>
      </c>
    </row>
    <row r="603" spans="1:15" ht="13.5" x14ac:dyDescent="0.25">
      <c r="A603" s="2">
        <v>42155</v>
      </c>
      <c r="B603" s="49">
        <v>35988658.659999996</v>
      </c>
      <c r="C603" s="6">
        <v>36</v>
      </c>
      <c r="D603" s="37"/>
      <c r="E603" s="4">
        <v>-3.8999999999999998E-3</v>
      </c>
      <c r="F603" s="4">
        <f t="shared" si="369"/>
        <v>0.53785979091415004</v>
      </c>
      <c r="G603" s="40">
        <f t="shared" si="358"/>
        <v>153.78597909141502</v>
      </c>
      <c r="H603" s="37"/>
      <c r="I603" s="4">
        <v>-3.5999999999999999E-3</v>
      </c>
      <c r="J603" s="4">
        <f t="shared" si="360"/>
        <v>0.61182572911761723</v>
      </c>
      <c r="K603" s="40">
        <f t="shared" si="361"/>
        <v>161.18257291176172</v>
      </c>
      <c r="L603" s="37"/>
      <c r="M603" s="4">
        <v>6.7799999999999996E-3</v>
      </c>
      <c r="N603" s="4">
        <f t="shared" si="370"/>
        <v>0.77222039346214766</v>
      </c>
      <c r="O603" s="40">
        <f t="shared" si="364"/>
        <v>177.22203934621487</v>
      </c>
    </row>
    <row r="604" spans="1:15" ht="13.5" x14ac:dyDescent="0.25">
      <c r="A604" s="2">
        <v>42185</v>
      </c>
      <c r="B604" s="49">
        <v>28138860.710000001</v>
      </c>
      <c r="C604" s="6">
        <v>33</v>
      </c>
      <c r="D604" s="36">
        <f>(1+E602)*(1+E603)*(1+E604)-1</f>
        <v>-1.0737897787000072E-2</v>
      </c>
      <c r="E604" s="4">
        <v>-1.9900000000000001E-2</v>
      </c>
      <c r="F604" s="4">
        <f t="shared" si="369"/>
        <v>0.50725638107495841</v>
      </c>
      <c r="G604" s="40">
        <f t="shared" si="358"/>
        <v>150.72563810749585</v>
      </c>
      <c r="H604" s="36">
        <f>(1+I602)*(1+I603)*(1+I604)-1</f>
        <v>-8.3386392640000251E-3</v>
      </c>
      <c r="I604" s="4">
        <v>-1.84E-2</v>
      </c>
      <c r="J604" s="4">
        <f t="shared" si="360"/>
        <v>0.58216813570185311</v>
      </c>
      <c r="K604" s="40">
        <f t="shared" si="361"/>
        <v>158.21681357018531</v>
      </c>
      <c r="L604" s="36">
        <f>(1+M602)*(1+M603)*(1+M604)-1</f>
        <v>-5.0487790335999039E-3</v>
      </c>
      <c r="M604" s="4">
        <v>-1.6E-2</v>
      </c>
      <c r="N604" s="4">
        <f t="shared" si="370"/>
        <v>0.74386486716675337</v>
      </c>
      <c r="O604" s="40">
        <f t="shared" si="364"/>
        <v>174.38648671667542</v>
      </c>
    </row>
    <row r="605" spans="1:15" ht="13.5" x14ac:dyDescent="0.25">
      <c r="A605" s="2">
        <v>42216</v>
      </c>
      <c r="B605" s="49">
        <v>29449798.059999999</v>
      </c>
      <c r="C605" s="6">
        <v>35</v>
      </c>
      <c r="D605" s="37"/>
      <c r="E605" s="4">
        <v>-9.1999999999999998E-3</v>
      </c>
      <c r="F605" s="4">
        <f t="shared" ref="F605:F610" si="371">(F604+1)*(E605+1)-1</f>
        <v>0.4933896223690688</v>
      </c>
      <c r="G605" s="40">
        <f t="shared" si="358"/>
        <v>149.33896223690689</v>
      </c>
      <c r="H605" s="37"/>
      <c r="I605" s="4">
        <v>-8.6999999999999994E-3</v>
      </c>
      <c r="J605" s="4">
        <f t="shared" si="360"/>
        <v>0.56840327292124693</v>
      </c>
      <c r="K605" s="40">
        <f t="shared" si="361"/>
        <v>156.8403272921247</v>
      </c>
      <c r="L605" s="37"/>
      <c r="M605" s="4">
        <v>1.5339999999999999E-2</v>
      </c>
      <c r="N605" s="4">
        <f t="shared" ref="N605:N610" si="372">(N604+1)*(M605+1)-1</f>
        <v>0.77061575422909123</v>
      </c>
      <c r="O605" s="40">
        <f t="shared" si="364"/>
        <v>177.06157542290921</v>
      </c>
    </row>
    <row r="606" spans="1:15" ht="13.5" x14ac:dyDescent="0.25">
      <c r="A606" s="2">
        <v>42247</v>
      </c>
      <c r="B606" s="49">
        <v>28710384.34</v>
      </c>
      <c r="C606" s="6">
        <v>36</v>
      </c>
      <c r="D606" s="37"/>
      <c r="E606" s="4">
        <v>-3.8399999999999997E-2</v>
      </c>
      <c r="F606" s="4">
        <f t="shared" si="371"/>
        <v>0.43604346087009649</v>
      </c>
      <c r="G606" s="40">
        <f t="shared" si="358"/>
        <v>143.60434608700967</v>
      </c>
      <c r="H606" s="37"/>
      <c r="I606" s="4">
        <v>-3.78E-2</v>
      </c>
      <c r="J606" s="4">
        <f t="shared" si="360"/>
        <v>0.50911762920482362</v>
      </c>
      <c r="K606" s="40">
        <f t="shared" si="361"/>
        <v>150.91176292048237</v>
      </c>
      <c r="L606" s="37"/>
      <c r="M606" s="4">
        <v>-3.6739999999999995E-2</v>
      </c>
      <c r="N606" s="4">
        <f t="shared" si="372"/>
        <v>0.70556333141871441</v>
      </c>
      <c r="O606" s="40">
        <f t="shared" si="364"/>
        <v>170.55633314187153</v>
      </c>
    </row>
    <row r="607" spans="1:15" ht="13.5" x14ac:dyDescent="0.25">
      <c r="A607" s="2">
        <v>42277</v>
      </c>
      <c r="B607" s="49">
        <v>31341409.440000001</v>
      </c>
      <c r="C607" s="6">
        <v>40</v>
      </c>
      <c r="D607" s="36">
        <f>(1+E605)*(1+E606)*(1+E607)-1</f>
        <v>-3.4098724735999952E-2</v>
      </c>
      <c r="E607" s="4">
        <v>1.38E-2</v>
      </c>
      <c r="F607" s="4">
        <f t="shared" si="371"/>
        <v>0.45586086063010378</v>
      </c>
      <c r="G607" s="40">
        <f t="shared" si="358"/>
        <v>145.58608606301041</v>
      </c>
      <c r="H607" s="36">
        <f>(1+I605)*(1+I606)*(1+I607)-1</f>
        <v>-3.1577558442000053E-2</v>
      </c>
      <c r="I607" s="4">
        <v>1.5299999999999999E-2</v>
      </c>
      <c r="J607" s="4">
        <f t="shared" si="360"/>
        <v>0.53220712893165745</v>
      </c>
      <c r="K607" s="40">
        <f t="shared" si="361"/>
        <v>153.22071289316577</v>
      </c>
      <c r="L607" s="36">
        <f>(1+M605)*(1+M606)*(1+M607)-1</f>
        <v>-3.3797832141640005E-2</v>
      </c>
      <c r="M607" s="4">
        <v>-1.21E-2</v>
      </c>
      <c r="N607" s="4">
        <f t="shared" si="372"/>
        <v>0.68492601510854789</v>
      </c>
      <c r="O607" s="40">
        <f t="shared" si="364"/>
        <v>168.49260151085488</v>
      </c>
    </row>
    <row r="608" spans="1:15" ht="13.5" x14ac:dyDescent="0.25">
      <c r="A608" s="2">
        <v>42308</v>
      </c>
      <c r="B608" s="49">
        <v>31355367.620000001</v>
      </c>
      <c r="C608" s="6">
        <v>39</v>
      </c>
      <c r="D608" s="37"/>
      <c r="E608" s="4">
        <v>4.9099999999999998E-2</v>
      </c>
      <c r="F608" s="4">
        <f t="shared" si="371"/>
        <v>0.52734362888704167</v>
      </c>
      <c r="G608" s="40">
        <f t="shared" si="358"/>
        <v>152.73436288870423</v>
      </c>
      <c r="H608" s="37"/>
      <c r="I608" s="4">
        <v>4.9799999999999997E-2</v>
      </c>
      <c r="J608" s="4">
        <f t="shared" si="360"/>
        <v>0.60851104395245414</v>
      </c>
      <c r="K608" s="40">
        <f t="shared" si="361"/>
        <v>160.85110439524544</v>
      </c>
      <c r="L608" s="37"/>
      <c r="M608" s="4">
        <v>5.0719999999999994E-2</v>
      </c>
      <c r="N608" s="4">
        <f t="shared" si="372"/>
        <v>0.77038546259485363</v>
      </c>
      <c r="O608" s="40">
        <f t="shared" si="364"/>
        <v>177.03854625948546</v>
      </c>
    </row>
    <row r="609" spans="1:15" ht="13.5" x14ac:dyDescent="0.25">
      <c r="A609" s="2">
        <v>42338</v>
      </c>
      <c r="B609" s="49">
        <v>32460603.120000001</v>
      </c>
      <c r="C609" s="6">
        <v>41</v>
      </c>
      <c r="D609" s="37"/>
      <c r="E609" s="4">
        <v>-4.4000000000000003E-3</v>
      </c>
      <c r="F609" s="4">
        <f t="shared" si="371"/>
        <v>0.52062331691993879</v>
      </c>
      <c r="G609" s="40">
        <f t="shared" si="358"/>
        <v>152.06233169199393</v>
      </c>
      <c r="H609" s="37"/>
      <c r="I609" s="4">
        <v>-4.0000000000000001E-3</v>
      </c>
      <c r="J609" s="4">
        <f t="shared" si="360"/>
        <v>0.60207699977664442</v>
      </c>
      <c r="K609" s="40">
        <f t="shared" si="361"/>
        <v>160.20769997766445</v>
      </c>
      <c r="L609" s="37"/>
      <c r="M609" s="4">
        <v>7.6000000000000004E-4</v>
      </c>
      <c r="N609" s="4">
        <f t="shared" si="372"/>
        <v>0.77173095554642579</v>
      </c>
      <c r="O609" s="40">
        <f t="shared" si="364"/>
        <v>177.17309555464269</v>
      </c>
    </row>
    <row r="610" spans="1:15" ht="13.5" x14ac:dyDescent="0.25">
      <c r="A610" s="2">
        <v>42369</v>
      </c>
      <c r="B610" s="49">
        <v>31891647.329999998</v>
      </c>
      <c r="C610" s="6">
        <v>41</v>
      </c>
      <c r="D610" s="36">
        <f>(1+E608)*(1+E609)*(1+E610)-1</f>
        <v>3.3934672003999911E-2</v>
      </c>
      <c r="E610" s="4">
        <v>-1.01E-2</v>
      </c>
      <c r="F610" s="4">
        <f t="shared" si="371"/>
        <v>0.5052650214190475</v>
      </c>
      <c r="G610" s="40">
        <f t="shared" si="358"/>
        <v>150.52650214190479</v>
      </c>
      <c r="H610" s="36">
        <f>(1+I608)*(1+I609)*(1+I610)-1</f>
        <v>3.650407304000014E-2</v>
      </c>
      <c r="I610" s="4">
        <v>-8.6999999999999994E-3</v>
      </c>
      <c r="J610" s="4">
        <f t="shared" si="360"/>
        <v>0.58813892987858751</v>
      </c>
      <c r="K610" s="40">
        <f t="shared" si="361"/>
        <v>158.81389298785876</v>
      </c>
      <c r="L610" s="36">
        <f>(1+M608)*(1+M609)*(1+M610)-1</f>
        <v>4.0204207632128064E-2</v>
      </c>
      <c r="M610" s="4">
        <v>-1.076E-2</v>
      </c>
      <c r="N610" s="4">
        <f t="shared" si="372"/>
        <v>0.75266713046474631</v>
      </c>
      <c r="O610" s="40">
        <f t="shared" si="364"/>
        <v>175.26671304647473</v>
      </c>
    </row>
    <row r="611" spans="1:15" ht="13.5" x14ac:dyDescent="0.25">
      <c r="A611" s="2">
        <v>42400</v>
      </c>
      <c r="B611" s="49">
        <v>31891804.57</v>
      </c>
      <c r="C611" s="6">
        <v>45</v>
      </c>
      <c r="D611" s="37"/>
      <c r="E611" s="4">
        <v>-1.9800000000000002E-2</v>
      </c>
      <c r="F611" s="4">
        <f t="shared" ref="F611:F616" si="373">(F610+1)*(E611+1)-1</f>
        <v>0.47546077399495035</v>
      </c>
      <c r="G611" s="40">
        <f t="shared" si="358"/>
        <v>147.54607739949506</v>
      </c>
      <c r="H611" s="37"/>
      <c r="I611" s="4">
        <v>-1.9E-2</v>
      </c>
      <c r="J611" s="4">
        <f t="shared" si="360"/>
        <v>0.55796429021089433</v>
      </c>
      <c r="K611" s="40">
        <f t="shared" si="361"/>
        <v>155.79642902108944</v>
      </c>
      <c r="L611" s="37"/>
      <c r="M611" s="4">
        <v>-2.4239999999999998E-2</v>
      </c>
      <c r="N611" s="4">
        <f t="shared" ref="N611:N616" si="374">(N610+1)*(M611+1)-1</f>
        <v>0.71018247922228084</v>
      </c>
      <c r="O611" s="40">
        <f t="shared" si="364"/>
        <v>171.01824792222817</v>
      </c>
    </row>
    <row r="612" spans="1:15" ht="13.5" x14ac:dyDescent="0.25">
      <c r="A612" s="2">
        <v>42429</v>
      </c>
      <c r="B612" s="49">
        <v>33154107.989999998</v>
      </c>
      <c r="C612" s="6">
        <v>45</v>
      </c>
      <c r="D612" s="37"/>
      <c r="E612" s="4">
        <v>5.4999999999999997E-3</v>
      </c>
      <c r="F612" s="4">
        <f t="shared" si="373"/>
        <v>0.48357580825192259</v>
      </c>
      <c r="G612" s="40">
        <f t="shared" si="358"/>
        <v>148.35758082519229</v>
      </c>
      <c r="H612" s="37"/>
      <c r="I612" s="4">
        <v>5.8999999999999999E-3</v>
      </c>
      <c r="J612" s="4">
        <f t="shared" si="360"/>
        <v>0.56715627952313863</v>
      </c>
      <c r="K612" s="40">
        <f t="shared" si="361"/>
        <v>156.71562795231387</v>
      </c>
      <c r="L612" s="37"/>
      <c r="M612" s="4">
        <v>2.0600000000000006E-3</v>
      </c>
      <c r="N612" s="4">
        <f t="shared" si="374"/>
        <v>0.71370545512947858</v>
      </c>
      <c r="O612" s="40">
        <f t="shared" si="364"/>
        <v>171.37054551294796</v>
      </c>
    </row>
    <row r="613" spans="1:15" ht="13.5" x14ac:dyDescent="0.25">
      <c r="A613" s="2">
        <v>42460</v>
      </c>
      <c r="B613" s="49">
        <v>34181156.259999998</v>
      </c>
      <c r="C613" s="6">
        <v>44</v>
      </c>
      <c r="D613" s="36">
        <f>(1+E611)*(1+E612)*(1+E613)-1</f>
        <v>2.954846306000003E-2</v>
      </c>
      <c r="E613" s="4">
        <v>4.4600000000000001E-2</v>
      </c>
      <c r="F613" s="4">
        <f t="shared" si="373"/>
        <v>0.5497432892999583</v>
      </c>
      <c r="G613" s="40">
        <f t="shared" si="358"/>
        <v>154.97432892999586</v>
      </c>
      <c r="H613" s="36">
        <f>(1+I611)*(1+I612)*(1+I613)-1</f>
        <v>3.2081464610000054E-2</v>
      </c>
      <c r="I613" s="4">
        <v>4.5900000000000003E-2</v>
      </c>
      <c r="J613" s="4">
        <f t="shared" ref="J613:J644" si="375">(J612+1)*(I613+1)-1</f>
        <v>0.63908875275325072</v>
      </c>
      <c r="K613" s="40">
        <f t="shared" si="361"/>
        <v>163.90887527532507</v>
      </c>
      <c r="L613" s="36">
        <f>(1+M611)*(1+M612)*(1+M613)-1</f>
        <v>2.1143945710015766E-2</v>
      </c>
      <c r="M613" s="4">
        <v>4.4360000000000004E-2</v>
      </c>
      <c r="N613" s="4">
        <f t="shared" si="374"/>
        <v>0.7897254291190221</v>
      </c>
      <c r="O613" s="40">
        <f t="shared" si="364"/>
        <v>178.97254291190231</v>
      </c>
    </row>
    <row r="614" spans="1:15" ht="13.5" x14ac:dyDescent="0.25">
      <c r="A614" s="2">
        <v>42490</v>
      </c>
      <c r="B614" s="49">
        <v>34295260.880000003</v>
      </c>
      <c r="C614" s="6">
        <v>45</v>
      </c>
      <c r="D614" s="37"/>
      <c r="E614" s="4">
        <v>2.2000000000000001E-3</v>
      </c>
      <c r="F614" s="4">
        <f t="shared" si="373"/>
        <v>0.55315272453641828</v>
      </c>
      <c r="G614" s="40">
        <f t="shared" si="358"/>
        <v>155.31527245364185</v>
      </c>
      <c r="H614" s="37"/>
      <c r="I614" s="4">
        <v>3.0000000000000001E-3</v>
      </c>
      <c r="J614" s="4">
        <f t="shared" si="375"/>
        <v>0.64400601901151022</v>
      </c>
      <c r="K614" s="40">
        <f t="shared" si="361"/>
        <v>164.40060190115102</v>
      </c>
      <c r="L614" s="37"/>
      <c r="M614" s="4">
        <v>3.8599999999999997E-3</v>
      </c>
      <c r="N614" s="4">
        <f t="shared" si="374"/>
        <v>0.79663376927542151</v>
      </c>
      <c r="O614" s="40">
        <f t="shared" si="364"/>
        <v>179.66337692754226</v>
      </c>
    </row>
    <row r="615" spans="1:15" ht="13.5" x14ac:dyDescent="0.25">
      <c r="A615" s="2">
        <v>42521</v>
      </c>
      <c r="B615" s="49">
        <v>35421884.670000002</v>
      </c>
      <c r="C615" s="6">
        <v>46</v>
      </c>
      <c r="D615" s="37"/>
      <c r="E615" s="4">
        <v>3.8E-3</v>
      </c>
      <c r="F615" s="4">
        <f t="shared" si="373"/>
        <v>0.55905470488965681</v>
      </c>
      <c r="G615" s="40">
        <f t="shared" si="358"/>
        <v>155.9054704889657</v>
      </c>
      <c r="H615" s="37"/>
      <c r="I615" s="4">
        <v>4.1999999999999997E-3</v>
      </c>
      <c r="J615" s="4">
        <f t="shared" si="375"/>
        <v>0.65091084429135848</v>
      </c>
      <c r="K615" s="40">
        <f t="shared" si="361"/>
        <v>165.09108442913586</v>
      </c>
      <c r="L615" s="37"/>
      <c r="M615" s="4">
        <v>1.0919999999999999E-2</v>
      </c>
      <c r="N615" s="4">
        <f t="shared" si="374"/>
        <v>0.81625301003590911</v>
      </c>
      <c r="O615" s="40">
        <f t="shared" si="364"/>
        <v>181.62530100359103</v>
      </c>
    </row>
    <row r="616" spans="1:15" ht="13.5" x14ac:dyDescent="0.25">
      <c r="A616" s="2">
        <v>42551</v>
      </c>
      <c r="B616" s="49">
        <v>35851033.630000003</v>
      </c>
      <c r="C616" s="6">
        <v>46</v>
      </c>
      <c r="D616" s="36">
        <f>(1+E614)*(1+E615)*(1+E616)-1</f>
        <v>2.170209041600013E-2</v>
      </c>
      <c r="E616" s="4">
        <v>1.5599999999999999E-2</v>
      </c>
      <c r="F616" s="4">
        <f t="shared" si="373"/>
        <v>0.58337595828593547</v>
      </c>
      <c r="G616" s="40">
        <f t="shared" si="358"/>
        <v>158.33759582859358</v>
      </c>
      <c r="H616" s="36">
        <f>(1+I614)*(1+I615)*(1+I616)-1</f>
        <v>2.413377167999986E-2</v>
      </c>
      <c r="I616" s="4">
        <v>1.6799999999999999E-2</v>
      </c>
      <c r="J616" s="4">
        <f t="shared" si="375"/>
        <v>0.67864614647545318</v>
      </c>
      <c r="K616" s="40">
        <f t="shared" si="361"/>
        <v>167.86461464754532</v>
      </c>
      <c r="L616" s="36">
        <f>(1+M614)*(1+M615)*(1+M616)-1</f>
        <v>2.3711993244512009E-2</v>
      </c>
      <c r="M616" s="4">
        <v>8.7600000000000004E-3</v>
      </c>
      <c r="N616" s="4">
        <f t="shared" si="374"/>
        <v>0.83216338640382381</v>
      </c>
      <c r="O616" s="40">
        <f t="shared" si="364"/>
        <v>183.2163386403825</v>
      </c>
    </row>
    <row r="617" spans="1:15" ht="13.5" x14ac:dyDescent="0.25">
      <c r="A617" s="2">
        <v>42582</v>
      </c>
      <c r="B617" s="49">
        <v>40165400.07</v>
      </c>
      <c r="C617" s="6">
        <v>46</v>
      </c>
      <c r="D617" s="37"/>
      <c r="E617" s="4">
        <v>2.1499999999999998E-2</v>
      </c>
      <c r="F617" s="4">
        <f t="shared" ref="F617:F622" si="376">(F616+1)*(E617+1)-1</f>
        <v>0.61741854138908314</v>
      </c>
      <c r="G617" s="40">
        <f t="shared" si="358"/>
        <v>161.74185413890837</v>
      </c>
      <c r="H617" s="37"/>
      <c r="I617" s="4">
        <v>2.24E-2</v>
      </c>
      <c r="J617" s="4">
        <f t="shared" si="375"/>
        <v>0.71624782015650323</v>
      </c>
      <c r="K617" s="40">
        <f t="shared" si="361"/>
        <v>171.62478201565034</v>
      </c>
      <c r="L617" s="37"/>
      <c r="M617" s="4">
        <v>2.4660000000000001E-2</v>
      </c>
      <c r="N617" s="4">
        <f t="shared" ref="N617:N622" si="377">(N616+1)*(M617+1)-1</f>
        <v>0.87734453551254199</v>
      </c>
      <c r="O617" s="40">
        <f t="shared" si="364"/>
        <v>187.73445355125432</v>
      </c>
    </row>
    <row r="618" spans="1:15" ht="13.5" x14ac:dyDescent="0.25">
      <c r="A618" s="2">
        <v>42613</v>
      </c>
      <c r="B618" s="49">
        <v>40089421.200000003</v>
      </c>
      <c r="C618" s="6">
        <v>46</v>
      </c>
      <c r="D618" s="37"/>
      <c r="E618" s="4">
        <v>-2.7000000000000001E-3</v>
      </c>
      <c r="F618" s="4">
        <f t="shared" si="376"/>
        <v>0.61305151132733249</v>
      </c>
      <c r="G618" s="40">
        <f t="shared" si="358"/>
        <v>161.3051511327333</v>
      </c>
      <c r="H618" s="37"/>
      <c r="I618" s="4">
        <v>-2.3E-3</v>
      </c>
      <c r="J618" s="4">
        <f t="shared" si="375"/>
        <v>0.71230045017014332</v>
      </c>
      <c r="K618" s="40">
        <f t="shared" si="361"/>
        <v>171.23004501701436</v>
      </c>
      <c r="L618" s="37"/>
      <c r="M618" s="4">
        <v>3.9999999999999986E-4</v>
      </c>
      <c r="N618" s="4">
        <f t="shared" si="377"/>
        <v>0.87809547332674698</v>
      </c>
      <c r="O618" s="40">
        <f t="shared" si="364"/>
        <v>187.80954733267481</v>
      </c>
    </row>
    <row r="619" spans="1:15" ht="13.5" x14ac:dyDescent="0.25">
      <c r="A619" s="2">
        <v>42643</v>
      </c>
      <c r="B619" s="49">
        <v>39850964.539999999</v>
      </c>
      <c r="C619" s="6">
        <v>46</v>
      </c>
      <c r="D619" s="36">
        <f>(1+E617)*(1+E618)*(1+E619)-1</f>
        <v>1.6704466100000204E-2</v>
      </c>
      <c r="E619" s="4">
        <v>-2E-3</v>
      </c>
      <c r="F619" s="4">
        <f t="shared" si="376"/>
        <v>0.60982540830467791</v>
      </c>
      <c r="G619" s="40">
        <f t="shared" si="358"/>
        <v>160.98254083046783</v>
      </c>
      <c r="H619" s="36">
        <f>(1+I617)*(1+I618)*(1+I619)-1</f>
        <v>1.9130436368000048E-2</v>
      </c>
      <c r="I619" s="4">
        <v>-8.9999999999999998E-4</v>
      </c>
      <c r="J619" s="4">
        <f t="shared" si="375"/>
        <v>0.71075937976499026</v>
      </c>
      <c r="K619" s="40">
        <f t="shared" si="361"/>
        <v>171.07593797649903</v>
      </c>
      <c r="L619" s="36">
        <f>(1+M617)*(1+M618)*(1+M619)-1</f>
        <v>2.4946855616319707E-2</v>
      </c>
      <c r="M619" s="4">
        <v>-1.1999999999999998E-4</v>
      </c>
      <c r="N619" s="4">
        <f t="shared" si="377"/>
        <v>0.87787010186994774</v>
      </c>
      <c r="O619" s="40">
        <f t="shared" si="364"/>
        <v>187.78701018699488</v>
      </c>
    </row>
    <row r="620" spans="1:15" ht="13.5" x14ac:dyDescent="0.25">
      <c r="A620" s="2">
        <v>42674</v>
      </c>
      <c r="B620" s="49">
        <v>39556679</v>
      </c>
      <c r="C620" s="6">
        <v>47</v>
      </c>
      <c r="D620" s="37"/>
      <c r="E620" s="4">
        <v>-1.15E-2</v>
      </c>
      <c r="F620" s="4">
        <f t="shared" si="376"/>
        <v>0.59131241610917429</v>
      </c>
      <c r="G620" s="40">
        <f t="shared" si="358"/>
        <v>159.13124161091744</v>
      </c>
      <c r="H620" s="37"/>
      <c r="I620" s="4">
        <v>-1.03E-2</v>
      </c>
      <c r="J620" s="4">
        <f t="shared" si="375"/>
        <v>0.69313855815341086</v>
      </c>
      <c r="K620" s="40">
        <f t="shared" si="361"/>
        <v>169.3138558153411</v>
      </c>
      <c r="L620" s="37"/>
      <c r="M620" s="4">
        <v>-1.4000000000000002E-2</v>
      </c>
      <c r="N620" s="4">
        <f t="shared" si="377"/>
        <v>0.8515799204437684</v>
      </c>
      <c r="O620" s="40">
        <f t="shared" si="364"/>
        <v>185.15799204437695</v>
      </c>
    </row>
    <row r="621" spans="1:15" ht="13.5" x14ac:dyDescent="0.25">
      <c r="A621" s="2">
        <v>42704</v>
      </c>
      <c r="B621" s="49">
        <v>40199719.009999998</v>
      </c>
      <c r="C621" s="6">
        <v>49</v>
      </c>
      <c r="D621" s="37"/>
      <c r="E621" s="4">
        <v>4.5999999999999999E-3</v>
      </c>
      <c r="F621" s="4">
        <f t="shared" si="376"/>
        <v>0.5986324532232763</v>
      </c>
      <c r="G621" s="40">
        <f t="shared" si="358"/>
        <v>159.86324532232766</v>
      </c>
      <c r="H621" s="37"/>
      <c r="I621" s="4">
        <v>4.8999999999999998E-3</v>
      </c>
      <c r="J621" s="4">
        <f t="shared" si="375"/>
        <v>0.70143493708836235</v>
      </c>
      <c r="K621" s="40">
        <f t="shared" si="361"/>
        <v>170.14349370883625</v>
      </c>
      <c r="L621" s="37"/>
      <c r="M621" s="4">
        <v>1.2719999999999997E-2</v>
      </c>
      <c r="N621" s="4">
        <f t="shared" si="377"/>
        <v>0.87513201703181331</v>
      </c>
      <c r="O621" s="40">
        <f t="shared" si="364"/>
        <v>187.51320170318144</v>
      </c>
    </row>
    <row r="622" spans="1:15" ht="13.5" x14ac:dyDescent="0.25">
      <c r="A622" s="2">
        <v>42735</v>
      </c>
      <c r="B622" s="49">
        <v>39731848</v>
      </c>
      <c r="C622" s="6">
        <v>48</v>
      </c>
      <c r="D622" s="36">
        <f>(1+E620)*(1+E621)*(1+E622)-1</f>
        <v>6.2546264300000765E-3</v>
      </c>
      <c r="E622" s="4">
        <v>1.3299999999999999E-2</v>
      </c>
      <c r="F622" s="4">
        <f t="shared" si="376"/>
        <v>0.61989426485114607</v>
      </c>
      <c r="G622" s="40">
        <f t="shared" si="358"/>
        <v>161.98942648511462</v>
      </c>
      <c r="H622" s="36">
        <f>(1+I620)*(1+I621)*(1+I622)-1</f>
        <v>8.7715882789998201E-3</v>
      </c>
      <c r="I622" s="4">
        <v>1.43E-2</v>
      </c>
      <c r="J622" s="4">
        <f t="shared" si="375"/>
        <v>0.72576545668872594</v>
      </c>
      <c r="K622" s="40">
        <f t="shared" si="361"/>
        <v>172.5765456688726</v>
      </c>
      <c r="L622" s="36">
        <f>(1+M620)*(1+M621)*(1+M622)-1</f>
        <v>1.0963781484800039E-2</v>
      </c>
      <c r="M622" s="4">
        <v>1.244E-2</v>
      </c>
      <c r="N622" s="4">
        <f t="shared" si="377"/>
        <v>0.89845865932368918</v>
      </c>
      <c r="O622" s="40">
        <f t="shared" si="364"/>
        <v>189.84586593236901</v>
      </c>
    </row>
    <row r="623" spans="1:15" ht="13.5" x14ac:dyDescent="0.25">
      <c r="A623" s="2">
        <v>42766</v>
      </c>
      <c r="B623" s="49">
        <v>40564931.280000001</v>
      </c>
      <c r="C623" s="6">
        <v>54</v>
      </c>
      <c r="D623" s="37"/>
      <c r="E623" s="4">
        <v>-2.3E-3</v>
      </c>
      <c r="F623" s="4">
        <f t="shared" ref="F623:F628" si="378">(F622+1)*(E623+1)-1</f>
        <v>0.61616850804198853</v>
      </c>
      <c r="G623" s="40">
        <f t="shared" si="358"/>
        <v>161.61685080419886</v>
      </c>
      <c r="H623" s="37"/>
      <c r="I623" s="4">
        <v>-8.9999999999999998E-4</v>
      </c>
      <c r="J623" s="4">
        <f t="shared" si="375"/>
        <v>0.72421226777770609</v>
      </c>
      <c r="K623" s="40">
        <f t="shared" si="361"/>
        <v>172.42122677777061</v>
      </c>
      <c r="L623" s="37"/>
      <c r="M623" s="4">
        <v>1.2199999999999999E-2</v>
      </c>
      <c r="N623" s="4">
        <f t="shared" ref="N623:N628" si="379">(N622+1)*(M623+1)-1</f>
        <v>0.92161985496743815</v>
      </c>
      <c r="O623" s="40">
        <f t="shared" si="364"/>
        <v>192.16198549674391</v>
      </c>
    </row>
    <row r="624" spans="1:15" ht="13.5" x14ac:dyDescent="0.25">
      <c r="A624" s="2">
        <v>42794</v>
      </c>
      <c r="B624" s="49">
        <v>42582422.420000002</v>
      </c>
      <c r="C624" s="6">
        <v>56</v>
      </c>
      <c r="D624" s="37"/>
      <c r="E624" s="4">
        <v>3.1800000000000002E-2</v>
      </c>
      <c r="F624" s="4">
        <f t="shared" si="378"/>
        <v>0.6675626665977239</v>
      </c>
      <c r="G624" s="40">
        <f t="shared" si="358"/>
        <v>166.75626665977239</v>
      </c>
      <c r="H624" s="37"/>
      <c r="I624" s="4">
        <v>3.2099999999999997E-2</v>
      </c>
      <c r="J624" s="4">
        <f t="shared" si="375"/>
        <v>0.77955948157337041</v>
      </c>
      <c r="K624" s="40">
        <f t="shared" si="361"/>
        <v>177.95594815733705</v>
      </c>
      <c r="L624" s="37"/>
      <c r="M624" s="4">
        <v>2.6499999999999996E-2</v>
      </c>
      <c r="N624" s="4">
        <f t="shared" si="379"/>
        <v>0.97254278112407522</v>
      </c>
      <c r="O624" s="40">
        <f t="shared" si="364"/>
        <v>197.2542781124076</v>
      </c>
    </row>
    <row r="625" spans="1:15" ht="13.5" x14ac:dyDescent="0.25">
      <c r="A625" s="2">
        <v>42825</v>
      </c>
      <c r="B625" s="49">
        <v>42343172.450000003</v>
      </c>
      <c r="C625" s="6">
        <v>56</v>
      </c>
      <c r="D625" s="36">
        <f>(1+E623)*(1+E624)*(1+E625)-1</f>
        <v>3.0765114918000158E-2</v>
      </c>
      <c r="E625" s="4">
        <v>1.2999999999999999E-3</v>
      </c>
      <c r="F625" s="4">
        <f t="shared" si="378"/>
        <v>0.66973049806430107</v>
      </c>
      <c r="G625" s="40">
        <f t="shared" si="358"/>
        <v>166.97304980643011</v>
      </c>
      <c r="H625" s="36">
        <f>(1+I623)*(1+I624)*(1+I625)-1</f>
        <v>3.3439686442000127E-2</v>
      </c>
      <c r="I625" s="4">
        <v>2.2000000000000001E-3</v>
      </c>
      <c r="J625" s="4">
        <f t="shared" si="375"/>
        <v>0.78347451243283173</v>
      </c>
      <c r="K625" s="40">
        <f t="shared" si="361"/>
        <v>178.34745124328319</v>
      </c>
      <c r="L625" s="36">
        <f>(1+M623)*(1+M624)*(1+M625)-1</f>
        <v>3.9563592116000024E-2</v>
      </c>
      <c r="M625" s="4">
        <v>5.1999999999999995E-4</v>
      </c>
      <c r="N625" s="4">
        <f t="shared" si="379"/>
        <v>0.97356850337025991</v>
      </c>
      <c r="O625" s="40">
        <f t="shared" si="364"/>
        <v>197.35685033702606</v>
      </c>
    </row>
    <row r="626" spans="1:15" ht="13.5" x14ac:dyDescent="0.25">
      <c r="A626" s="2">
        <v>42855</v>
      </c>
      <c r="B626" s="49">
        <v>43067391.539999999</v>
      </c>
      <c r="C626" s="6">
        <v>57</v>
      </c>
      <c r="D626" s="37"/>
      <c r="E626" s="4">
        <v>-2.8999999999999998E-3</v>
      </c>
      <c r="F626" s="4">
        <f t="shared" si="378"/>
        <v>0.66488827961991448</v>
      </c>
      <c r="G626" s="40">
        <f t="shared" si="358"/>
        <v>166.48882796199146</v>
      </c>
      <c r="H626" s="37"/>
      <c r="I626" s="4">
        <v>-1.5E-3</v>
      </c>
      <c r="J626" s="4">
        <f t="shared" si="375"/>
        <v>0.78079930066418268</v>
      </c>
      <c r="K626" s="40">
        <f t="shared" si="361"/>
        <v>178.07993006641829</v>
      </c>
      <c r="L626" s="37"/>
      <c r="M626" s="4">
        <v>9.2600000000000009E-3</v>
      </c>
      <c r="N626" s="4">
        <f t="shared" si="379"/>
        <v>0.99184374771146855</v>
      </c>
      <c r="O626" s="40">
        <f t="shared" si="364"/>
        <v>199.18437477114693</v>
      </c>
    </row>
    <row r="627" spans="1:15" ht="13.5" x14ac:dyDescent="0.25">
      <c r="A627" s="2">
        <v>42886</v>
      </c>
      <c r="B627" s="49">
        <v>46221145.439999998</v>
      </c>
      <c r="C627" s="6">
        <v>59</v>
      </c>
      <c r="D627" s="37"/>
      <c r="E627" s="4">
        <v>3.5999999999999999E-3</v>
      </c>
      <c r="F627" s="4">
        <f t="shared" si="378"/>
        <v>0.67088187742654615</v>
      </c>
      <c r="G627" s="40">
        <f t="shared" si="358"/>
        <v>167.08818774265464</v>
      </c>
      <c r="H627" s="37"/>
      <c r="I627" s="4">
        <v>3.8999999999999998E-3</v>
      </c>
      <c r="J627" s="4">
        <f t="shared" si="375"/>
        <v>0.78774441793677297</v>
      </c>
      <c r="K627" s="40">
        <f t="shared" si="361"/>
        <v>178.77444179367731</v>
      </c>
      <c r="L627" s="37"/>
      <c r="M627" s="4">
        <v>1.1539999999999998E-2</v>
      </c>
      <c r="N627" s="4">
        <f t="shared" si="379"/>
        <v>1.014829624560059</v>
      </c>
      <c r="O627" s="40">
        <f t="shared" si="364"/>
        <v>201.48296245600599</v>
      </c>
    </row>
    <row r="628" spans="1:15" ht="13.5" x14ac:dyDescent="0.25">
      <c r="A628" s="2">
        <v>42916</v>
      </c>
      <c r="B628" s="49">
        <v>45886507.43</v>
      </c>
      <c r="C628" s="6">
        <v>58</v>
      </c>
      <c r="D628" s="36">
        <f>(1+E626)*(1+E627)*(1+E628)-1</f>
        <v>6.0932836240001897E-3</v>
      </c>
      <c r="E628" s="4">
        <v>5.4000000000000003E-3</v>
      </c>
      <c r="F628" s="4">
        <f t="shared" si="378"/>
        <v>0.67990463956464953</v>
      </c>
      <c r="G628" s="40">
        <f t="shared" si="358"/>
        <v>167.99046395646499</v>
      </c>
      <c r="H628" s="36">
        <f>(1+I626)*(1+I627)*(1+I628)-1</f>
        <v>8.7092331450000504E-3</v>
      </c>
      <c r="I628" s="4">
        <v>6.3E-3</v>
      </c>
      <c r="J628" s="4">
        <f t="shared" si="375"/>
        <v>0.79900720776977452</v>
      </c>
      <c r="K628" s="40">
        <f t="shared" si="361"/>
        <v>179.90072077697747</v>
      </c>
      <c r="L628" s="36">
        <f>(1+M626)*(1+M627)*(1+M628)-1</f>
        <v>2.4296271176528217E-2</v>
      </c>
      <c r="M628" s="4">
        <v>3.3199999999999996E-3</v>
      </c>
      <c r="N628" s="4">
        <f t="shared" si="379"/>
        <v>1.0215188589135984</v>
      </c>
      <c r="O628" s="40">
        <f t="shared" si="364"/>
        <v>202.15188589135994</v>
      </c>
    </row>
    <row r="629" spans="1:15" ht="13.5" x14ac:dyDescent="0.25">
      <c r="A629" s="2">
        <v>42947</v>
      </c>
      <c r="B629" s="49">
        <v>46048807.43</v>
      </c>
      <c r="C629" s="6">
        <v>59</v>
      </c>
      <c r="D629" s="37"/>
      <c r="E629" s="4">
        <v>1.8100000000000002E-2</v>
      </c>
      <c r="F629" s="4">
        <f t="shared" ref="F629:F634" si="380">(F628+1)*(E629+1)-1</f>
        <v>0.7103109135407697</v>
      </c>
      <c r="G629" s="40">
        <f t="shared" si="358"/>
        <v>171.03109135407701</v>
      </c>
      <c r="H629" s="37"/>
      <c r="I629" s="4">
        <v>1.9400000000000001E-2</v>
      </c>
      <c r="J629" s="4">
        <f t="shared" si="375"/>
        <v>0.83390794760050824</v>
      </c>
      <c r="K629" s="40">
        <f t="shared" si="361"/>
        <v>183.39079476005085</v>
      </c>
      <c r="L629" s="37"/>
      <c r="M629" s="4">
        <v>1.4079999999999999E-2</v>
      </c>
      <c r="N629" s="4">
        <f t="shared" ref="N629:N634" si="381">(N628+1)*(M629+1)-1</f>
        <v>1.0499818444471019</v>
      </c>
      <c r="O629" s="40">
        <f t="shared" si="364"/>
        <v>204.99818444471032</v>
      </c>
    </row>
    <row r="630" spans="1:15" ht="13.5" x14ac:dyDescent="0.25">
      <c r="A630" s="2">
        <v>42978</v>
      </c>
      <c r="B630" s="49">
        <v>45098610.299999997</v>
      </c>
      <c r="C630" s="6">
        <v>61</v>
      </c>
      <c r="D630" s="37"/>
      <c r="E630" s="4">
        <v>2.3999999999999998E-3</v>
      </c>
      <c r="F630" s="4">
        <f t="shared" si="380"/>
        <v>0.71441565973326737</v>
      </c>
      <c r="G630" s="40">
        <f t="shared" si="358"/>
        <v>171.44156597332679</v>
      </c>
      <c r="H630" s="37"/>
      <c r="I630" s="4">
        <v>2.7000000000000001E-3</v>
      </c>
      <c r="J630" s="4">
        <f t="shared" si="375"/>
        <v>0.83885949905902946</v>
      </c>
      <c r="K630" s="40">
        <f t="shared" si="361"/>
        <v>183.88594990590298</v>
      </c>
      <c r="L630" s="37"/>
      <c r="M630" s="4">
        <v>5.4599999999999996E-3</v>
      </c>
      <c r="N630" s="4">
        <f t="shared" si="381"/>
        <v>1.0611747453177829</v>
      </c>
      <c r="O630" s="40">
        <f t="shared" si="364"/>
        <v>206.11747453177844</v>
      </c>
    </row>
    <row r="631" spans="1:15" ht="13.5" x14ac:dyDescent="0.25">
      <c r="A631" s="2">
        <v>43008</v>
      </c>
      <c r="B631" s="49">
        <v>45769160.689999998</v>
      </c>
      <c r="C631" s="6">
        <v>62</v>
      </c>
      <c r="D631" s="36">
        <f>(1+E629)*(1+E630)*(1+E631)-1</f>
        <v>3.5647482911999928E-2</v>
      </c>
      <c r="E631" s="4">
        <v>1.4800000000000001E-2</v>
      </c>
      <c r="F631" s="4">
        <f t="shared" si="380"/>
        <v>0.73978901149731957</v>
      </c>
      <c r="G631" s="40">
        <f t="shared" si="358"/>
        <v>173.97890114973202</v>
      </c>
      <c r="H631" s="36">
        <f>(1+I629)*(1+I630)*(1+I631)-1</f>
        <v>3.8302387604000065E-2</v>
      </c>
      <c r="I631" s="4">
        <v>1.5800000000000002E-2</v>
      </c>
      <c r="J631" s="4">
        <f t="shared" si="375"/>
        <v>0.86791347914416228</v>
      </c>
      <c r="K631" s="40">
        <f t="shared" si="361"/>
        <v>186.79134791441626</v>
      </c>
      <c r="L631" s="36">
        <f>(1+M629)*(1+M630)*(1+M631)-1</f>
        <v>3.0261676993792008E-2</v>
      </c>
      <c r="M631" s="4">
        <v>1.044E-2</v>
      </c>
      <c r="N631" s="4">
        <f t="shared" si="381"/>
        <v>1.0826934096589005</v>
      </c>
      <c r="O631" s="40">
        <f t="shared" si="364"/>
        <v>208.26934096589022</v>
      </c>
    </row>
    <row r="632" spans="1:15" ht="13.5" x14ac:dyDescent="0.25">
      <c r="A632" s="2">
        <v>43039</v>
      </c>
      <c r="B632" s="49">
        <v>48150882.460000001</v>
      </c>
      <c r="C632" s="6">
        <v>63</v>
      </c>
      <c r="D632" s="37"/>
      <c r="E632" s="4">
        <v>2.7000000000000001E-3</v>
      </c>
      <c r="F632" s="4">
        <f t="shared" si="380"/>
        <v>0.7444864418283621</v>
      </c>
      <c r="G632" s="40">
        <f t="shared" si="358"/>
        <v>174.44864418283629</v>
      </c>
      <c r="H632" s="37"/>
      <c r="I632" s="4">
        <v>4.0000000000000001E-3</v>
      </c>
      <c r="J632" s="4">
        <f t="shared" si="375"/>
        <v>0.87538513306073895</v>
      </c>
      <c r="K632" s="40">
        <f t="shared" si="361"/>
        <v>187.53851330607392</v>
      </c>
      <c r="L632" s="37"/>
      <c r="M632" s="4">
        <v>1.4220000000000002E-2</v>
      </c>
      <c r="N632" s="4">
        <f t="shared" si="381"/>
        <v>1.11230930994425</v>
      </c>
      <c r="O632" s="40">
        <f t="shared" si="364"/>
        <v>211.23093099442517</v>
      </c>
    </row>
    <row r="633" spans="1:15" ht="13.5" x14ac:dyDescent="0.25">
      <c r="A633" s="2">
        <v>43069</v>
      </c>
      <c r="B633" s="49">
        <v>43410501.670000002</v>
      </c>
      <c r="C633" s="6">
        <v>57</v>
      </c>
      <c r="D633" s="37"/>
      <c r="E633" s="4">
        <v>2.53E-2</v>
      </c>
      <c r="F633" s="4">
        <f t="shared" si="380"/>
        <v>0.78862194880661973</v>
      </c>
      <c r="G633" s="40">
        <f t="shared" si="358"/>
        <v>178.86219488066206</v>
      </c>
      <c r="H633" s="37"/>
      <c r="I633" s="4">
        <v>2.5600000000000001E-2</v>
      </c>
      <c r="J633" s="4">
        <f t="shared" si="375"/>
        <v>0.92339499246709389</v>
      </c>
      <c r="K633" s="40">
        <f t="shared" si="361"/>
        <v>192.33949924670944</v>
      </c>
      <c r="L633" s="37"/>
      <c r="M633" s="4">
        <v>1.7899999999999999E-2</v>
      </c>
      <c r="N633" s="4">
        <f t="shared" si="381"/>
        <v>1.1501196465922523</v>
      </c>
      <c r="O633" s="40">
        <f t="shared" si="364"/>
        <v>215.01196465922538</v>
      </c>
    </row>
    <row r="634" spans="1:15" ht="13.5" x14ac:dyDescent="0.25">
      <c r="A634" s="2">
        <v>43100</v>
      </c>
      <c r="B634" s="49">
        <v>39513428.939999998</v>
      </c>
      <c r="C634" s="6">
        <v>53</v>
      </c>
      <c r="D634" s="36">
        <f>(1+E632)*(1+E633)*(1+E634)-1</f>
        <v>3.8760220424000069E-2</v>
      </c>
      <c r="E634" s="4">
        <v>1.04E-2</v>
      </c>
      <c r="F634" s="4">
        <f t="shared" si="380"/>
        <v>0.80722361707420842</v>
      </c>
      <c r="G634" s="40">
        <f t="shared" si="358"/>
        <v>180.72236170742093</v>
      </c>
      <c r="H634" s="36">
        <f>(1+I632)*(1+I633)*(1+I634)-1</f>
        <v>4.154397760000017E-2</v>
      </c>
      <c r="I634" s="4">
        <v>1.15E-2</v>
      </c>
      <c r="J634" s="4">
        <f t="shared" si="375"/>
        <v>0.94551403488046559</v>
      </c>
      <c r="K634" s="40">
        <f t="shared" si="361"/>
        <v>194.55140348804662</v>
      </c>
      <c r="L634" s="36">
        <f>(1+M632)*(1+M633)*(1+M634)-1</f>
        <v>4.1149721572999898E-2</v>
      </c>
      <c r="M634" s="4">
        <v>8.5000000000000006E-3</v>
      </c>
      <c r="N634" s="4">
        <f t="shared" si="381"/>
        <v>1.1683956635882864</v>
      </c>
      <c r="O634" s="40">
        <f t="shared" si="364"/>
        <v>216.83956635882879</v>
      </c>
    </row>
    <row r="635" spans="1:15" ht="13.5" x14ac:dyDescent="0.25">
      <c r="A635" s="2">
        <v>43131</v>
      </c>
      <c r="B635" s="49">
        <v>39387341.630000003</v>
      </c>
      <c r="C635" s="6">
        <v>51</v>
      </c>
      <c r="D635" s="37"/>
      <c r="E635" s="4">
        <v>2.06E-2</v>
      </c>
      <c r="F635" s="4">
        <f t="shared" ref="F635:F643" si="382">(F634+1)*(E635+1)-1</f>
        <v>0.84445242358593697</v>
      </c>
      <c r="G635" s="40">
        <f t="shared" si="358"/>
        <v>184.44524235859379</v>
      </c>
      <c r="H635" s="37"/>
      <c r="I635" s="4">
        <v>2.1399999999999999E-2</v>
      </c>
      <c r="J635" s="4">
        <f t="shared" si="375"/>
        <v>0.98714803522690775</v>
      </c>
      <c r="K635" s="40">
        <f t="shared" si="361"/>
        <v>198.71480352269083</v>
      </c>
      <c r="L635" s="37"/>
      <c r="M635" s="4">
        <v>2.9779999999999994E-2</v>
      </c>
      <c r="N635" s="4">
        <f t="shared" ref="N635:N643" si="383">(N634+1)*(M635+1)-1</f>
        <v>1.2329704864499456</v>
      </c>
      <c r="O635" s="40">
        <f t="shared" si="364"/>
        <v>223.2970486449947</v>
      </c>
    </row>
    <row r="636" spans="1:15" ht="13.5" x14ac:dyDescent="0.25">
      <c r="A636" s="2">
        <v>43159</v>
      </c>
      <c r="B636" s="49">
        <v>35226958.020000003</v>
      </c>
      <c r="C636" s="6">
        <v>52</v>
      </c>
      <c r="D636" s="37"/>
      <c r="E636" s="4">
        <v>-2.5700000000000001E-2</v>
      </c>
      <c r="F636" s="4">
        <f t="shared" si="382"/>
        <v>0.79704999629977835</v>
      </c>
      <c r="G636" s="40">
        <f t="shared" si="358"/>
        <v>179.70499962997792</v>
      </c>
      <c r="H636" s="37"/>
      <c r="I636" s="4">
        <v>-2.53E-2</v>
      </c>
      <c r="J636" s="4">
        <f t="shared" si="375"/>
        <v>0.93687318993566704</v>
      </c>
      <c r="K636" s="40">
        <f t="shared" si="361"/>
        <v>193.68731899356675</v>
      </c>
      <c r="L636" s="37"/>
      <c r="M636" s="4">
        <v>-2.5940000000000001E-2</v>
      </c>
      <c r="N636" s="4">
        <f t="shared" si="383"/>
        <v>1.1750472320314342</v>
      </c>
      <c r="O636" s="40">
        <f t="shared" si="364"/>
        <v>217.50472320314356</v>
      </c>
    </row>
    <row r="637" spans="1:15" ht="13.5" x14ac:dyDescent="0.25">
      <c r="A637" s="2">
        <v>43190</v>
      </c>
      <c r="B637" s="49">
        <v>34411170.439999998</v>
      </c>
      <c r="C637" s="6">
        <v>51</v>
      </c>
      <c r="D637" s="36">
        <f>(1+E635)*(1+E636)*(1+E637)-1</f>
        <v>-1.6070311090000011E-2</v>
      </c>
      <c r="E637" s="4">
        <v>-1.0500000000000001E-2</v>
      </c>
      <c r="F637" s="4">
        <f t="shared" si="382"/>
        <v>0.77818097133863073</v>
      </c>
      <c r="G637" s="40">
        <f t="shared" si="358"/>
        <v>177.81809713386315</v>
      </c>
      <c r="H637" s="36">
        <f>(1+I635)*(1+I636)*(1+I637)-1</f>
        <v>-1.3600558935999874E-2</v>
      </c>
      <c r="I637" s="4">
        <v>-9.1999999999999998E-3</v>
      </c>
      <c r="J637" s="4">
        <f t="shared" si="375"/>
        <v>0.91905395658825895</v>
      </c>
      <c r="K637" s="40">
        <f t="shared" si="361"/>
        <v>191.90539565882594</v>
      </c>
      <c r="L637" s="36">
        <f>(1+M635)*(1+M636)*(1+M637)-1</f>
        <v>-9.6513891862241019E-3</v>
      </c>
      <c r="M637" s="4">
        <v>-1.2679999999999999E-2</v>
      </c>
      <c r="N637" s="4">
        <f t="shared" si="383"/>
        <v>1.1474676331292755</v>
      </c>
      <c r="O637" s="40">
        <f t="shared" si="364"/>
        <v>214.7467633129277</v>
      </c>
    </row>
    <row r="638" spans="1:15" ht="13.5" x14ac:dyDescent="0.25">
      <c r="A638" s="2">
        <v>43220</v>
      </c>
      <c r="B638" s="49">
        <v>33907098.719999999</v>
      </c>
      <c r="C638" s="6">
        <v>49</v>
      </c>
      <c r="D638" s="37"/>
      <c r="E638" s="4">
        <v>6.1000000000000004E-3</v>
      </c>
      <c r="F638" s="4">
        <f t="shared" si="382"/>
        <v>0.78902787526379647</v>
      </c>
      <c r="G638" s="40">
        <f t="shared" si="358"/>
        <v>178.90278752637971</v>
      </c>
      <c r="H638" s="37"/>
      <c r="I638" s="4">
        <v>6.7999999999999996E-3</v>
      </c>
      <c r="J638" s="4">
        <f t="shared" si="375"/>
        <v>0.93210352349305903</v>
      </c>
      <c r="K638" s="40">
        <f t="shared" si="361"/>
        <v>193.21035234930594</v>
      </c>
      <c r="L638" s="37"/>
      <c r="M638" s="4">
        <v>-6.8000000000000048E-4</v>
      </c>
      <c r="N638" s="4">
        <f t="shared" si="383"/>
        <v>1.1460073551387477</v>
      </c>
      <c r="O638" s="40">
        <f t="shared" si="364"/>
        <v>214.60073551387489</v>
      </c>
    </row>
    <row r="639" spans="1:15" ht="13.5" x14ac:dyDescent="0.25">
      <c r="A639" s="2">
        <v>43251</v>
      </c>
      <c r="B639" s="49">
        <v>34158957.979999997</v>
      </c>
      <c r="C639" s="6">
        <v>49</v>
      </c>
      <c r="D639" s="37"/>
      <c r="E639" s="4">
        <v>8.6999999999999994E-3</v>
      </c>
      <c r="F639" s="4">
        <f t="shared" si="382"/>
        <v>0.80459241777859147</v>
      </c>
      <c r="G639" s="40">
        <f t="shared" si="358"/>
        <v>180.45924177785921</v>
      </c>
      <c r="H639" s="37"/>
      <c r="I639" s="4">
        <v>9.1999999999999998E-3</v>
      </c>
      <c r="J639" s="4">
        <f t="shared" si="375"/>
        <v>0.9498788759091954</v>
      </c>
      <c r="K639" s="40">
        <f t="shared" si="361"/>
        <v>194.98788759091957</v>
      </c>
      <c r="L639" s="37"/>
      <c r="M639" s="4">
        <v>1.7299999999999999E-2</v>
      </c>
      <c r="N639" s="4">
        <f t="shared" si="383"/>
        <v>1.1831332823826481</v>
      </c>
      <c r="O639" s="40">
        <f t="shared" si="364"/>
        <v>218.31332823826494</v>
      </c>
    </row>
    <row r="640" spans="1:15" ht="13.5" x14ac:dyDescent="0.25">
      <c r="A640" s="2">
        <v>43281</v>
      </c>
      <c r="B640" s="49">
        <v>34192269.740000002</v>
      </c>
      <c r="C640" s="6">
        <v>49</v>
      </c>
      <c r="D640" s="36">
        <f>(1+E638)*(1+E639)*(1+E640)-1</f>
        <v>1.9115452894000073E-2</v>
      </c>
      <c r="E640" s="4">
        <v>4.1999999999999997E-3</v>
      </c>
      <c r="F640" s="4">
        <f t="shared" si="382"/>
        <v>0.8121717059332616</v>
      </c>
      <c r="G640" s="40">
        <f t="shared" si="358"/>
        <v>181.21717059332622</v>
      </c>
      <c r="H640" s="36">
        <f>(1+I638)*(1+I639)*(1+I640)-1</f>
        <v>2.1650904079999922E-2</v>
      </c>
      <c r="I640" s="4">
        <v>5.4999999999999997E-3</v>
      </c>
      <c r="J640" s="4">
        <f t="shared" si="375"/>
        <v>0.96060320972669611</v>
      </c>
      <c r="K640" s="40">
        <f t="shared" si="361"/>
        <v>196.06032097266964</v>
      </c>
      <c r="L640" s="36">
        <f>(1+M638)*(1+M639)*(1+M640)-1</f>
        <v>1.9902046684640018E-2</v>
      </c>
      <c r="M640" s="4">
        <v>3.2399999999999998E-3</v>
      </c>
      <c r="N640" s="4">
        <f t="shared" si="383"/>
        <v>1.1902066342175677</v>
      </c>
      <c r="O640" s="40">
        <f t="shared" si="364"/>
        <v>219.02066342175689</v>
      </c>
    </row>
    <row r="641" spans="1:15" ht="13.5" x14ac:dyDescent="0.25">
      <c r="A641" s="2">
        <v>43312</v>
      </c>
      <c r="B641" s="49">
        <v>34795351.670000002</v>
      </c>
      <c r="C641" s="6">
        <v>49</v>
      </c>
      <c r="D641" s="37"/>
      <c r="E641" s="4">
        <v>2.1999999999999999E-2</v>
      </c>
      <c r="F641" s="4">
        <f t="shared" si="382"/>
        <v>0.85203948346379343</v>
      </c>
      <c r="G641" s="40">
        <f t="shared" si="358"/>
        <v>185.20394834637941</v>
      </c>
      <c r="H641" s="37"/>
      <c r="I641" s="4">
        <v>2.2700000000000001E-2</v>
      </c>
      <c r="J641" s="4">
        <f t="shared" si="375"/>
        <v>1.0051089025874922</v>
      </c>
      <c r="K641" s="40">
        <f t="shared" si="361"/>
        <v>200.51089025874924</v>
      </c>
      <c r="L641" s="37"/>
      <c r="M641" s="4">
        <v>2.2399999999999996E-2</v>
      </c>
      <c r="N641" s="4">
        <f t="shared" si="383"/>
        <v>1.2392672628240411</v>
      </c>
      <c r="O641" s="40">
        <f t="shared" si="364"/>
        <v>223.92672628240425</v>
      </c>
    </row>
    <row r="642" spans="1:15" ht="13.5" x14ac:dyDescent="0.25">
      <c r="A642" s="2">
        <v>43343</v>
      </c>
      <c r="B642" s="49">
        <v>36027061.539999999</v>
      </c>
      <c r="C642" s="6">
        <v>50</v>
      </c>
      <c r="D642" s="37"/>
      <c r="E642" s="4">
        <v>1.38E-2</v>
      </c>
      <c r="F642" s="4">
        <f t="shared" si="382"/>
        <v>0.87759762833559374</v>
      </c>
      <c r="G642" s="40">
        <f t="shared" si="358"/>
        <v>187.75976283355945</v>
      </c>
      <c r="H642" s="37"/>
      <c r="I642" s="4">
        <v>1.43E-2</v>
      </c>
      <c r="J642" s="4">
        <f t="shared" si="375"/>
        <v>1.0337819598944935</v>
      </c>
      <c r="K642" s="40">
        <f t="shared" si="361"/>
        <v>203.37819598944935</v>
      </c>
      <c r="L642" s="37"/>
      <c r="M642" s="4">
        <v>2.2119999999999997E-2</v>
      </c>
      <c r="N642" s="4">
        <f t="shared" si="383"/>
        <v>1.2887998546777086</v>
      </c>
      <c r="O642" s="40">
        <f t="shared" si="364"/>
        <v>228.87998546777101</v>
      </c>
    </row>
    <row r="643" spans="1:15" ht="13.5" x14ac:dyDescent="0.25">
      <c r="A643" s="2">
        <v>43373</v>
      </c>
      <c r="B643" s="49">
        <v>37023982.43</v>
      </c>
      <c r="C643" s="6">
        <v>51</v>
      </c>
      <c r="D643" s="36">
        <f>(1+E641)*(1+E642)*(1+E643)-1</f>
        <v>4.0248014400000143E-2</v>
      </c>
      <c r="E643" s="4">
        <v>4.0000000000000001E-3</v>
      </c>
      <c r="F643" s="4">
        <f t="shared" si="382"/>
        <v>0.8851080188489362</v>
      </c>
      <c r="G643" s="40">
        <f t="shared" si="358"/>
        <v>188.51080188489368</v>
      </c>
      <c r="H643" s="36">
        <f>(1+I641)*(1+I642)*(1+I643)-1</f>
        <v>4.2822430433000047E-2</v>
      </c>
      <c r="I643" s="4">
        <v>5.3E-3</v>
      </c>
      <c r="J643" s="4">
        <f t="shared" si="375"/>
        <v>1.0445610042819347</v>
      </c>
      <c r="K643" s="40">
        <f t="shared" si="361"/>
        <v>204.45610042819345</v>
      </c>
      <c r="L643" s="36">
        <f>(1+M641)*(1+M642)*(1+M643)-1</f>
        <v>4.5914201319680048E-2</v>
      </c>
      <c r="M643" s="4">
        <v>8.5999999999999965E-4</v>
      </c>
      <c r="N643" s="4">
        <f t="shared" si="383"/>
        <v>1.2907682225527317</v>
      </c>
      <c r="O643" s="40">
        <f t="shared" si="364"/>
        <v>229.0768222552733</v>
      </c>
    </row>
    <row r="644" spans="1:15" ht="13.5" x14ac:dyDescent="0.25">
      <c r="A644" s="2">
        <v>43404</v>
      </c>
      <c r="B644" s="49">
        <v>39359388.399999999</v>
      </c>
      <c r="C644" s="6">
        <v>54</v>
      </c>
      <c r="D644" s="37"/>
      <c r="E644" s="4">
        <v>-2.52E-2</v>
      </c>
      <c r="F644" s="4">
        <f t="shared" ref="F644:F649" si="384">(F643+1)*(E644+1)-1</f>
        <v>0.83760329677394307</v>
      </c>
      <c r="G644" s="40">
        <f t="shared" si="358"/>
        <v>183.76032967739437</v>
      </c>
      <c r="H644" s="37"/>
      <c r="I644" s="4">
        <v>-2.4500000000000001E-2</v>
      </c>
      <c r="J644" s="4">
        <f t="shared" si="375"/>
        <v>0.99446925967702726</v>
      </c>
      <c r="K644" s="40">
        <f t="shared" si="361"/>
        <v>199.44692596770273</v>
      </c>
      <c r="L644" s="37"/>
      <c r="M644" s="4">
        <v>-4.4200000000000003E-2</v>
      </c>
      <c r="N644" s="4">
        <f t="shared" ref="N644:N649" si="385">(N643+1)*(M644+1)-1</f>
        <v>1.1895162671159007</v>
      </c>
      <c r="O644" s="40">
        <f t="shared" si="364"/>
        <v>218.95162671159022</v>
      </c>
    </row>
    <row r="645" spans="1:15" ht="13.5" x14ac:dyDescent="0.25">
      <c r="A645" s="2">
        <v>43434</v>
      </c>
      <c r="B645" s="49">
        <v>40503185.189999998</v>
      </c>
      <c r="C645" s="6">
        <v>55</v>
      </c>
      <c r="D645" s="37"/>
      <c r="E645" s="4">
        <v>2.1100000000000001E-2</v>
      </c>
      <c r="F645" s="4">
        <f t="shared" si="384"/>
        <v>0.87637672633587305</v>
      </c>
      <c r="G645" s="40">
        <f t="shared" ref="G645:G708" si="386">G644*(1+E645)</f>
        <v>187.63767263358736</v>
      </c>
      <c r="H645" s="37"/>
      <c r="I645" s="4">
        <v>2.1600000000000001E-2</v>
      </c>
      <c r="J645" s="4">
        <f t="shared" ref="J645:J676" si="387">(J644+1)*(I645+1)-1</f>
        <v>1.0375497956860511</v>
      </c>
      <c r="K645" s="40">
        <f t="shared" ref="K645:K708" si="388">K644*(1+I645)</f>
        <v>203.75497956860511</v>
      </c>
      <c r="L645" s="37"/>
      <c r="M645" s="4">
        <v>1.464E-2</v>
      </c>
      <c r="N645" s="4">
        <f t="shared" si="385"/>
        <v>1.2215707852664774</v>
      </c>
      <c r="O645" s="40">
        <f t="shared" ref="O645:O708" si="389">O644*(1+M645)</f>
        <v>222.15707852664789</v>
      </c>
    </row>
    <row r="646" spans="1:15" ht="13.5" x14ac:dyDescent="0.25">
      <c r="A646" s="2">
        <v>43465</v>
      </c>
      <c r="B646" s="49">
        <v>38624138.740000002</v>
      </c>
      <c r="C646" s="6">
        <v>56</v>
      </c>
      <c r="D646" s="36">
        <f>(1+E644)*(1+E645)*(1+E646)-1</f>
        <v>-5.539550228000012E-2</v>
      </c>
      <c r="E646" s="4">
        <v>-5.0999999999999997E-2</v>
      </c>
      <c r="F646" s="4">
        <f t="shared" si="384"/>
        <v>0.78068151329274338</v>
      </c>
      <c r="G646" s="40">
        <f t="shared" si="386"/>
        <v>178.0681513292744</v>
      </c>
      <c r="H646" s="36">
        <f>(1+I644)*(1+I645)*(1+I646)-1</f>
        <v>-5.3158082920000016E-2</v>
      </c>
      <c r="I646" s="4">
        <v>-4.99E-2</v>
      </c>
      <c r="J646" s="4">
        <f t="shared" si="387"/>
        <v>0.93587606088131703</v>
      </c>
      <c r="K646" s="40">
        <f t="shared" si="388"/>
        <v>193.58760608813171</v>
      </c>
      <c r="L646" s="36">
        <f>(1+M644)*(1+M645)*(1+M646)-1</f>
        <v>-7.5612792139840068E-2</v>
      </c>
      <c r="M646" s="4">
        <v>-4.6820000000000001E-2</v>
      </c>
      <c r="N646" s="4">
        <f t="shared" si="385"/>
        <v>1.117556841100301</v>
      </c>
      <c r="O646" s="40">
        <f t="shared" si="389"/>
        <v>211.75568411003024</v>
      </c>
    </row>
    <row r="647" spans="1:15" ht="13.5" x14ac:dyDescent="0.25">
      <c r="A647" s="2">
        <v>43496</v>
      </c>
      <c r="B647" s="49">
        <v>41385927.630000003</v>
      </c>
      <c r="C647" s="6">
        <v>60</v>
      </c>
      <c r="D647" s="37"/>
      <c r="E647" s="4">
        <v>4.3900000000000002E-2</v>
      </c>
      <c r="F647" s="4">
        <f t="shared" si="384"/>
        <v>0.8588534317262948</v>
      </c>
      <c r="G647" s="40">
        <f t="shared" si="386"/>
        <v>185.88534317262955</v>
      </c>
      <c r="H647" s="37"/>
      <c r="I647" s="4">
        <v>4.4699999999999997E-2</v>
      </c>
      <c r="J647" s="4">
        <f t="shared" si="387"/>
        <v>1.0224097208027119</v>
      </c>
      <c r="K647" s="40">
        <f t="shared" si="388"/>
        <v>202.24097208027118</v>
      </c>
      <c r="L647" s="37"/>
      <c r="M647" s="4">
        <v>5.2299999999999999E-2</v>
      </c>
      <c r="N647" s="4">
        <f t="shared" si="385"/>
        <v>1.2283050638898465</v>
      </c>
      <c r="O647" s="40">
        <f t="shared" si="389"/>
        <v>222.83050638898482</v>
      </c>
    </row>
    <row r="648" spans="1:15" ht="13.5" x14ac:dyDescent="0.25">
      <c r="A648" s="2">
        <v>43524</v>
      </c>
      <c r="B648" s="49">
        <v>50583058.43</v>
      </c>
      <c r="C648" s="6">
        <v>80</v>
      </c>
      <c r="D648" s="37"/>
      <c r="E648" s="4">
        <v>2.5399999999999999E-2</v>
      </c>
      <c r="F648" s="4">
        <f t="shared" si="384"/>
        <v>0.90606830889214285</v>
      </c>
      <c r="G648" s="40">
        <f t="shared" si="386"/>
        <v>190.60683088921436</v>
      </c>
      <c r="H648" s="37"/>
      <c r="I648" s="4">
        <v>2.58E-2</v>
      </c>
      <c r="J648" s="4">
        <f t="shared" si="387"/>
        <v>1.074587891599422</v>
      </c>
      <c r="K648" s="40">
        <f t="shared" si="388"/>
        <v>207.45878915994217</v>
      </c>
      <c r="L648" s="37"/>
      <c r="M648" s="4">
        <v>1.9019999999999995E-2</v>
      </c>
      <c r="N648" s="4">
        <f t="shared" si="385"/>
        <v>1.2706874262050314</v>
      </c>
      <c r="O648" s="40">
        <f t="shared" si="389"/>
        <v>227.06874262050331</v>
      </c>
    </row>
    <row r="649" spans="1:15" ht="13.5" x14ac:dyDescent="0.25">
      <c r="A649" s="2">
        <v>43555</v>
      </c>
      <c r="B649" s="49">
        <v>49844410.960000001</v>
      </c>
      <c r="C649" s="6">
        <v>84</v>
      </c>
      <c r="D649" s="36">
        <f>(1+E647)*(1+E648)*(1+E649)-1</f>
        <v>7.8229089938000262E-2</v>
      </c>
      <c r="E649" s="4">
        <v>7.3000000000000001E-3</v>
      </c>
      <c r="F649" s="4">
        <f t="shared" si="384"/>
        <v>0.91998260754705563</v>
      </c>
      <c r="G649" s="40">
        <f t="shared" si="386"/>
        <v>191.99826075470565</v>
      </c>
      <c r="H649" s="36">
        <f>(1+I647)*(1+I648)*(1+I649)-1</f>
        <v>8.0547982057999956E-2</v>
      </c>
      <c r="I649" s="4">
        <v>8.3000000000000001E-3</v>
      </c>
      <c r="J649" s="4">
        <f t="shared" si="387"/>
        <v>1.0918069710996972</v>
      </c>
      <c r="K649" s="40">
        <f t="shared" si="388"/>
        <v>209.18069710996969</v>
      </c>
      <c r="L649" s="36">
        <f>(1+M647)*(1+M648)*(1+M649)-1</f>
        <v>9.3031866892719917E-2</v>
      </c>
      <c r="M649" s="4">
        <v>1.9319999999999997E-2</v>
      </c>
      <c r="N649" s="4">
        <f t="shared" si="385"/>
        <v>1.3145571072793127</v>
      </c>
      <c r="O649" s="40">
        <f t="shared" si="389"/>
        <v>231.45571072793143</v>
      </c>
    </row>
    <row r="650" spans="1:15" ht="13.5" x14ac:dyDescent="0.25">
      <c r="A650" s="2">
        <v>43585</v>
      </c>
      <c r="B650" s="49">
        <v>58675670.039999999</v>
      </c>
      <c r="C650" s="6">
        <v>99</v>
      </c>
      <c r="D650" s="37"/>
      <c r="E650" s="4">
        <v>2.29E-2</v>
      </c>
      <c r="F650" s="4">
        <f t="shared" ref="F650:F655" si="390">(F649+1)*(E650+1)-1</f>
        <v>0.96395020925988306</v>
      </c>
      <c r="G650" s="40">
        <f t="shared" si="386"/>
        <v>196.3950209259884</v>
      </c>
      <c r="H650" s="37"/>
      <c r="I650" s="4">
        <v>2.4E-2</v>
      </c>
      <c r="J650" s="4">
        <f t="shared" si="387"/>
        <v>1.1420103384060898</v>
      </c>
      <c r="K650" s="40">
        <f t="shared" si="388"/>
        <v>214.20103384060897</v>
      </c>
      <c r="L650" s="37"/>
      <c r="M650" s="4">
        <v>2.4419999999999997E-2</v>
      </c>
      <c r="N650" s="4">
        <f t="shared" ref="N650:N655" si="391">(N649+1)*(M650+1)-1</f>
        <v>1.371078591839074</v>
      </c>
      <c r="O650" s="40">
        <f t="shared" si="389"/>
        <v>237.10785918390755</v>
      </c>
    </row>
    <row r="651" spans="1:15" ht="13.5" x14ac:dyDescent="0.25">
      <c r="A651" s="2">
        <v>43616</v>
      </c>
      <c r="B651" s="49">
        <v>57490655.32</v>
      </c>
      <c r="C651" s="6">
        <v>102</v>
      </c>
      <c r="D651" s="37"/>
      <c r="E651" s="4">
        <v>-3.3500000000000002E-2</v>
      </c>
      <c r="F651" s="4">
        <f t="shared" si="390"/>
        <v>0.89815787724967699</v>
      </c>
      <c r="G651" s="40">
        <f t="shared" si="386"/>
        <v>189.81578772496781</v>
      </c>
      <c r="H651" s="37"/>
      <c r="I651" s="4">
        <v>-3.3099999999999997E-2</v>
      </c>
      <c r="J651" s="4">
        <f t="shared" si="387"/>
        <v>1.0711097962048481</v>
      </c>
      <c r="K651" s="40">
        <f t="shared" si="388"/>
        <v>207.11097962048481</v>
      </c>
      <c r="L651" s="37"/>
      <c r="M651" s="4">
        <v>-3.0980000000000001E-2</v>
      </c>
      <c r="N651" s="4">
        <f t="shared" si="391"/>
        <v>1.2976225770638994</v>
      </c>
      <c r="O651" s="40">
        <f t="shared" si="389"/>
        <v>229.7622577063901</v>
      </c>
    </row>
    <row r="652" spans="1:15" ht="13.5" x14ac:dyDescent="0.25">
      <c r="A652" s="2">
        <v>43646</v>
      </c>
      <c r="B652" s="49">
        <v>61094538.390000001</v>
      </c>
      <c r="C652" s="6">
        <v>105</v>
      </c>
      <c r="D652" s="36">
        <f>(1+E650)*(1+E651)*(1+E652)-1</f>
        <v>3.094633597999974E-2</v>
      </c>
      <c r="E652" s="4">
        <v>4.2799999999999998E-2</v>
      </c>
      <c r="F652" s="4">
        <f t="shared" si="390"/>
        <v>0.9793990343959631</v>
      </c>
      <c r="G652" s="40">
        <f t="shared" si="386"/>
        <v>197.93990343959641</v>
      </c>
      <c r="H652" s="36">
        <f>(1+I650)*(1+I651)*(1+I652)-1</f>
        <v>3.3571235839999991E-2</v>
      </c>
      <c r="I652" s="4">
        <v>4.3900000000000002E-2</v>
      </c>
      <c r="J652" s="4">
        <f t="shared" si="387"/>
        <v>1.1620315162582409</v>
      </c>
      <c r="K652" s="40">
        <f t="shared" si="388"/>
        <v>216.20315162582412</v>
      </c>
      <c r="L652" s="36">
        <f>(1+M650)*(1+M651)*(1+M652)-1</f>
        <v>3.9677103794055979E-2</v>
      </c>
      <c r="M652" s="4">
        <v>4.734E-2</v>
      </c>
      <c r="N652" s="4">
        <f t="shared" si="391"/>
        <v>1.4063920298621042</v>
      </c>
      <c r="O652" s="40">
        <f t="shared" si="389"/>
        <v>240.63920298621059</v>
      </c>
    </row>
    <row r="653" spans="1:15" ht="13.5" x14ac:dyDescent="0.25">
      <c r="A653" s="2">
        <v>43677</v>
      </c>
      <c r="B653" s="49">
        <v>61174561.969999999</v>
      </c>
      <c r="C653" s="6">
        <v>105</v>
      </c>
      <c r="D653" s="37"/>
      <c r="E653" s="4">
        <v>6.6E-3</v>
      </c>
      <c r="F653" s="4">
        <f t="shared" si="390"/>
        <v>0.99246306802297624</v>
      </c>
      <c r="G653" s="40">
        <f t="shared" si="386"/>
        <v>199.24630680229774</v>
      </c>
      <c r="H653" s="37"/>
      <c r="I653" s="4">
        <v>7.7000000000000002E-3</v>
      </c>
      <c r="J653" s="4">
        <f t="shared" si="387"/>
        <v>1.1786791589334293</v>
      </c>
      <c r="K653" s="40">
        <f t="shared" si="388"/>
        <v>217.86791589334297</v>
      </c>
      <c r="L653" s="37"/>
      <c r="M653" s="4">
        <v>9.5200000000000007E-3</v>
      </c>
      <c r="N653" s="4">
        <f t="shared" si="391"/>
        <v>1.4293008819863915</v>
      </c>
      <c r="O653" s="40">
        <f t="shared" si="389"/>
        <v>242.93008819863931</v>
      </c>
    </row>
    <row r="654" spans="1:15" ht="13.5" x14ac:dyDescent="0.25">
      <c r="A654" s="2">
        <v>43708</v>
      </c>
      <c r="B654" s="49">
        <v>60511752.469999999</v>
      </c>
      <c r="C654" s="6">
        <v>105</v>
      </c>
      <c r="D654" s="37"/>
      <c r="E654" s="4">
        <v>-8.0999999999999996E-3</v>
      </c>
      <c r="F654" s="4">
        <f t="shared" si="390"/>
        <v>0.97632411717199008</v>
      </c>
      <c r="G654" s="40">
        <f t="shared" si="386"/>
        <v>197.63241171719912</v>
      </c>
      <c r="H654" s="37"/>
      <c r="I654" s="4">
        <v>-7.4999999999999997E-3</v>
      </c>
      <c r="J654" s="4">
        <f t="shared" si="387"/>
        <v>1.1623390652414289</v>
      </c>
      <c r="K654" s="40">
        <f t="shared" si="388"/>
        <v>216.2339065241429</v>
      </c>
      <c r="L654" s="37"/>
      <c r="M654" s="4">
        <v>8.8000000000000057E-4</v>
      </c>
      <c r="N654" s="4">
        <f t="shared" si="391"/>
        <v>1.4314386667625394</v>
      </c>
      <c r="O654" s="40">
        <f t="shared" si="389"/>
        <v>243.14386667625411</v>
      </c>
    </row>
    <row r="655" spans="1:15" ht="13.5" x14ac:dyDescent="0.25">
      <c r="A655" s="2">
        <v>43738</v>
      </c>
      <c r="B655" s="49">
        <v>61515509.619999997</v>
      </c>
      <c r="C655" s="6">
        <v>106</v>
      </c>
      <c r="D655" s="36">
        <f>(1+E653)*(1+E654)*(1+E655)-1</f>
        <v>1.7716558222000023E-2</v>
      </c>
      <c r="E655" s="4">
        <v>1.9300000000000001E-2</v>
      </c>
      <c r="F655" s="4">
        <f t="shared" si="390"/>
        <v>1.0144671726334096</v>
      </c>
      <c r="G655" s="40">
        <f t="shared" si="386"/>
        <v>201.44671726334107</v>
      </c>
      <c r="H655" s="36">
        <f>(1+I653)*(1+I654)*(1+I655)-1</f>
        <v>2.0545151900000169E-2</v>
      </c>
      <c r="I655" s="4">
        <v>2.0400000000000001E-2</v>
      </c>
      <c r="J655" s="4">
        <f t="shared" si="387"/>
        <v>1.2064507821723542</v>
      </c>
      <c r="K655" s="40">
        <f t="shared" si="388"/>
        <v>220.64507821723541</v>
      </c>
      <c r="L655" s="36">
        <f>(1+M653)*(1+M654)*(1+M655)-1</f>
        <v>1.960309383615999E-2</v>
      </c>
      <c r="M655" s="4">
        <v>9.1000000000000004E-3</v>
      </c>
      <c r="N655" s="4">
        <f t="shared" si="391"/>
        <v>1.4535647586300788</v>
      </c>
      <c r="O655" s="40">
        <f t="shared" si="389"/>
        <v>245.35647586300806</v>
      </c>
    </row>
    <row r="656" spans="1:15" ht="13.5" x14ac:dyDescent="0.25">
      <c r="A656" s="2">
        <v>43769</v>
      </c>
      <c r="B656" s="49">
        <v>62137288.409999996</v>
      </c>
      <c r="C656" s="6">
        <v>109</v>
      </c>
      <c r="D656" s="37"/>
      <c r="E656" s="4">
        <v>7.4999999999999997E-3</v>
      </c>
      <c r="F656" s="4">
        <f t="shared" ref="F656:F661" si="392">(F655+1)*(E656+1)-1</f>
        <v>1.0295756764281601</v>
      </c>
      <c r="G656" s="40">
        <f t="shared" si="386"/>
        <v>202.95756764281614</v>
      </c>
      <c r="H656" s="37"/>
      <c r="I656" s="4">
        <v>8.6E-3</v>
      </c>
      <c r="J656" s="4">
        <f t="shared" si="387"/>
        <v>1.2254262588990366</v>
      </c>
      <c r="K656" s="40">
        <f t="shared" si="388"/>
        <v>222.54262588990363</v>
      </c>
      <c r="L656" s="37"/>
      <c r="M656" s="4">
        <v>1.422E-2</v>
      </c>
      <c r="N656" s="4">
        <f t="shared" ref="N656:N661" si="393">(N655+1)*(M656+1)-1</f>
        <v>1.4884544494977985</v>
      </c>
      <c r="O656" s="40">
        <f t="shared" si="389"/>
        <v>248.84544494978002</v>
      </c>
    </row>
    <row r="657" spans="1:15" ht="13.5" x14ac:dyDescent="0.25">
      <c r="A657" s="2">
        <v>43799</v>
      </c>
      <c r="B657" s="49">
        <v>63638754.390000001</v>
      </c>
      <c r="C657" s="6">
        <v>110</v>
      </c>
      <c r="D657" s="37"/>
      <c r="E657" s="4">
        <v>1.09E-2</v>
      </c>
      <c r="F657" s="4">
        <f t="shared" si="392"/>
        <v>1.0516980513012268</v>
      </c>
      <c r="G657" s="40">
        <f t="shared" si="386"/>
        <v>205.16980513012282</v>
      </c>
      <c r="H657" s="37"/>
      <c r="I657" s="4">
        <v>1.14E-2</v>
      </c>
      <c r="J657" s="4">
        <f t="shared" si="387"/>
        <v>1.2507961182504856</v>
      </c>
      <c r="K657" s="40">
        <f t="shared" si="388"/>
        <v>225.07961182504854</v>
      </c>
      <c r="L657" s="37"/>
      <c r="M657" s="4">
        <v>2.1579999999999998E-2</v>
      </c>
      <c r="N657" s="4">
        <f t="shared" si="393"/>
        <v>1.542155296517961</v>
      </c>
      <c r="O657" s="40">
        <f t="shared" si="389"/>
        <v>254.21552965179626</v>
      </c>
    </row>
    <row r="658" spans="1:15" ht="13.5" x14ac:dyDescent="0.25">
      <c r="A658" s="2">
        <v>43830</v>
      </c>
      <c r="B658" s="49">
        <v>64581032.380000003</v>
      </c>
      <c r="C658" s="6">
        <v>111</v>
      </c>
      <c r="D658" s="36">
        <f>(1+E656)*(1+E657)*(1+E658)-1</f>
        <v>3.569409157499992E-2</v>
      </c>
      <c r="E658" s="4">
        <v>1.6899999999999998E-2</v>
      </c>
      <c r="F658" s="4">
        <f t="shared" si="392"/>
        <v>1.0863717483682174</v>
      </c>
      <c r="G658" s="40">
        <f t="shared" si="386"/>
        <v>208.63717483682188</v>
      </c>
      <c r="H658" s="36">
        <f>(1+I656)*(1+I657)*(1+I658)-1</f>
        <v>3.845980471999999E-2</v>
      </c>
      <c r="I658" s="4">
        <v>1.7999999999999999E-2</v>
      </c>
      <c r="J658" s="4">
        <f t="shared" si="387"/>
        <v>1.2913104483789946</v>
      </c>
      <c r="K658" s="40">
        <f t="shared" si="388"/>
        <v>229.13104483789942</v>
      </c>
      <c r="L658" s="36">
        <f>(1+M656)*(1+M657)*(1+M658)-1</f>
        <v>5.4591014117983949E-2</v>
      </c>
      <c r="M658" s="4">
        <v>1.7840000000000002E-2</v>
      </c>
      <c r="N658" s="4">
        <f t="shared" si="393"/>
        <v>1.5875073470078416</v>
      </c>
      <c r="O658" s="40">
        <f t="shared" si="389"/>
        <v>258.75073470078434</v>
      </c>
    </row>
    <row r="659" spans="1:15" ht="13.5" x14ac:dyDescent="0.25">
      <c r="A659" s="2">
        <v>43861</v>
      </c>
      <c r="B659" s="49">
        <v>63821519.670000002</v>
      </c>
      <c r="C659" s="6">
        <v>112</v>
      </c>
      <c r="D659" s="37"/>
      <c r="E659" s="4">
        <v>-2.0400000000000001E-2</v>
      </c>
      <c r="F659" s="4">
        <f t="shared" si="392"/>
        <v>1.0438097647015057</v>
      </c>
      <c r="G659" s="40">
        <f t="shared" si="386"/>
        <v>204.38097647015073</v>
      </c>
      <c r="H659" s="37"/>
      <c r="I659" s="4">
        <v>-1.95E-2</v>
      </c>
      <c r="J659" s="4">
        <f t="shared" si="387"/>
        <v>1.2466298946356043</v>
      </c>
      <c r="K659" s="40">
        <f t="shared" si="388"/>
        <v>224.66298946356039</v>
      </c>
      <c r="L659" s="37"/>
      <c r="M659" s="4">
        <v>7.4399999999999996E-3</v>
      </c>
      <c r="N659" s="4">
        <f t="shared" si="393"/>
        <v>1.6067584016695795</v>
      </c>
      <c r="O659" s="40">
        <f t="shared" si="389"/>
        <v>260.67584016695815</v>
      </c>
    </row>
    <row r="660" spans="1:15" ht="13.5" x14ac:dyDescent="0.25">
      <c r="A660" s="2">
        <v>43890</v>
      </c>
      <c r="B660" s="49">
        <v>60025196.5</v>
      </c>
      <c r="C660" s="6">
        <v>113</v>
      </c>
      <c r="D660" s="37"/>
      <c r="E660" s="4">
        <v>-6.0999999999999999E-2</v>
      </c>
      <c r="F660" s="4">
        <f t="shared" si="392"/>
        <v>0.91913736905471399</v>
      </c>
      <c r="G660" s="40">
        <f t="shared" si="386"/>
        <v>191.91373690547155</v>
      </c>
      <c r="H660" s="37"/>
      <c r="I660" s="4">
        <v>-6.0499999999999998E-2</v>
      </c>
      <c r="J660" s="4">
        <f t="shared" si="387"/>
        <v>1.1107087860101501</v>
      </c>
      <c r="K660" s="40">
        <f t="shared" si="388"/>
        <v>211.07087860101498</v>
      </c>
      <c r="L660" s="37"/>
      <c r="M660" s="4">
        <v>-4.2180000000000002E-2</v>
      </c>
      <c r="N660" s="4">
        <f t="shared" si="393"/>
        <v>1.4968053322871566</v>
      </c>
      <c r="O660" s="40">
        <f t="shared" si="389"/>
        <v>249.68053322871586</v>
      </c>
    </row>
    <row r="661" spans="1:15" ht="13.5" x14ac:dyDescent="0.25">
      <c r="A661" s="2">
        <v>43921</v>
      </c>
      <c r="B661" s="49">
        <v>63821519.670000002</v>
      </c>
      <c r="C661" s="6">
        <v>112</v>
      </c>
      <c r="D661" s="36">
        <f>(1+E659)*(1+E660)*(1+E661)-1</f>
        <v>-0.15585879411999992</v>
      </c>
      <c r="E661" s="4">
        <v>-8.2299999999999998E-2</v>
      </c>
      <c r="F661" s="4">
        <f t="shared" si="392"/>
        <v>0.76119236358151099</v>
      </c>
      <c r="G661" s="40">
        <f t="shared" si="386"/>
        <v>176.11923635815123</v>
      </c>
      <c r="H661" s="36">
        <f>(1+I659)*(1+I660)*(1+I661)-1</f>
        <v>-0.15371216367499996</v>
      </c>
      <c r="I661" s="4">
        <v>-8.1299999999999997E-2</v>
      </c>
      <c r="J661" s="4">
        <f t="shared" si="387"/>
        <v>0.93910816170752476</v>
      </c>
      <c r="K661" s="40">
        <f t="shared" si="388"/>
        <v>193.91081617075247</v>
      </c>
      <c r="L661" s="36">
        <f>(1+M659)*(1+M660)*(1+M661)-1</f>
        <v>-0.10883360418396804</v>
      </c>
      <c r="M661" s="4">
        <v>-7.646E-2</v>
      </c>
      <c r="N661" s="4">
        <f t="shared" si="393"/>
        <v>1.3058995965804807</v>
      </c>
      <c r="O661" s="40">
        <f t="shared" si="389"/>
        <v>230.58995965804826</v>
      </c>
    </row>
    <row r="662" spans="1:15" ht="13.5" x14ac:dyDescent="0.25">
      <c r="A662" s="2">
        <v>43951</v>
      </c>
      <c r="B662" s="49">
        <v>61017424.090000004</v>
      </c>
      <c r="C662" s="6">
        <v>119</v>
      </c>
      <c r="D662" s="37"/>
      <c r="E662" s="4">
        <v>6.8599999999999994E-2</v>
      </c>
      <c r="F662" s="4">
        <f t="shared" ref="F662:F667" si="394">(F661+1)*(E662+1)-1</f>
        <v>0.88201015972320262</v>
      </c>
      <c r="G662" s="40">
        <f t="shared" si="386"/>
        <v>188.20101597232039</v>
      </c>
      <c r="H662" s="37"/>
      <c r="I662" s="4">
        <v>6.9599999999999995E-2</v>
      </c>
      <c r="J662" s="4">
        <f t="shared" si="387"/>
        <v>1.0740700897623681</v>
      </c>
      <c r="K662" s="40">
        <f t="shared" si="388"/>
        <v>207.40700897623682</v>
      </c>
      <c r="L662" s="37"/>
      <c r="M662" s="4">
        <v>8.4040000000000004E-2</v>
      </c>
      <c r="N662" s="4">
        <f t="shared" ref="N662:N667" si="395">(N661+1)*(M662+1)-1</f>
        <v>1.499687398677104</v>
      </c>
      <c r="O662" s="40">
        <f t="shared" si="389"/>
        <v>249.96873986771061</v>
      </c>
    </row>
    <row r="663" spans="1:15" ht="13.5" x14ac:dyDescent="0.25">
      <c r="A663" s="2">
        <v>43982</v>
      </c>
      <c r="B663" s="49">
        <v>60898981.219999999</v>
      </c>
      <c r="C663" s="6">
        <v>118</v>
      </c>
      <c r="D663" s="37"/>
      <c r="E663" s="4">
        <v>1.6E-2</v>
      </c>
      <c r="F663" s="4">
        <f t="shared" si="394"/>
        <v>0.91212232227877399</v>
      </c>
      <c r="G663" s="40">
        <f t="shared" si="386"/>
        <v>191.21223222787751</v>
      </c>
      <c r="H663" s="37"/>
      <c r="I663" s="4">
        <v>1.6500000000000001E-2</v>
      </c>
      <c r="J663" s="4">
        <f t="shared" si="387"/>
        <v>1.108292246243447</v>
      </c>
      <c r="K663" s="40">
        <f t="shared" si="388"/>
        <v>210.82922462434473</v>
      </c>
      <c r="L663" s="37"/>
      <c r="M663" s="4">
        <v>3.0440000000000002E-2</v>
      </c>
      <c r="N663" s="4">
        <f t="shared" si="395"/>
        <v>1.5757778830928353</v>
      </c>
      <c r="O663" s="40">
        <f t="shared" si="389"/>
        <v>257.57778830928373</v>
      </c>
    </row>
    <row r="664" spans="1:15" ht="13.5" x14ac:dyDescent="0.25">
      <c r="A664" s="2">
        <v>44012</v>
      </c>
      <c r="B664" s="49">
        <v>60668071.289999999</v>
      </c>
      <c r="C664" s="6">
        <v>118</v>
      </c>
      <c r="D664" s="36">
        <f>(1+E662)*(1+E663)*(1+E664)-1</f>
        <v>9.1343227520000125E-2</v>
      </c>
      <c r="E664" s="4">
        <v>5.1999999999999998E-3</v>
      </c>
      <c r="F664" s="4">
        <f t="shared" si="394"/>
        <v>0.92206535835462389</v>
      </c>
      <c r="G664" s="40">
        <f t="shared" si="386"/>
        <v>192.20653583546249</v>
      </c>
      <c r="H664" s="36">
        <f>(1+I662)*(1+I663)*(1+I664)-1</f>
        <v>9.4098064919999835E-2</v>
      </c>
      <c r="I664" s="4">
        <v>6.3E-3</v>
      </c>
      <c r="J664" s="4">
        <f t="shared" si="387"/>
        <v>1.1215744873947808</v>
      </c>
      <c r="K664" s="40">
        <f t="shared" si="388"/>
        <v>212.1574487394781</v>
      </c>
      <c r="L664" s="36">
        <f>(1+M662)*(1+M663)*(1+M664)-1</f>
        <v>0.13319054964809585</v>
      </c>
      <c r="M664" s="4">
        <v>1.4460000000000001E-2</v>
      </c>
      <c r="N664" s="4">
        <f t="shared" si="395"/>
        <v>1.6130236312823576</v>
      </c>
      <c r="O664" s="40">
        <f t="shared" si="389"/>
        <v>261.30236312823598</v>
      </c>
    </row>
    <row r="665" spans="1:15" ht="13.5" x14ac:dyDescent="0.25">
      <c r="A665" s="2">
        <v>44043</v>
      </c>
      <c r="B665" s="49">
        <v>64767189.289999999</v>
      </c>
      <c r="C665" s="6">
        <v>121</v>
      </c>
      <c r="D665" s="37"/>
      <c r="E665" s="4">
        <v>2.63E-2</v>
      </c>
      <c r="F665" s="4">
        <f t="shared" si="394"/>
        <v>0.97261567727935039</v>
      </c>
      <c r="G665" s="40">
        <f t="shared" si="386"/>
        <v>197.26156772793516</v>
      </c>
      <c r="H665" s="37"/>
      <c r="I665" s="4">
        <v>2.7199999999999998E-2</v>
      </c>
      <c r="J665" s="4">
        <f t="shared" si="387"/>
        <v>1.1792813134519187</v>
      </c>
      <c r="K665" s="40">
        <f t="shared" si="388"/>
        <v>217.92813134519187</v>
      </c>
      <c r="L665" s="37"/>
      <c r="M665" s="4">
        <v>3.9799999999999995E-2</v>
      </c>
      <c r="N665" s="4">
        <f t="shared" si="395"/>
        <v>1.7170219718073958</v>
      </c>
      <c r="O665" s="40">
        <f t="shared" si="389"/>
        <v>271.7021971807398</v>
      </c>
    </row>
    <row r="666" spans="1:15" ht="13.5" x14ac:dyDescent="0.25">
      <c r="A666" s="2">
        <v>44074</v>
      </c>
      <c r="B666" s="49">
        <v>64489067.93</v>
      </c>
      <c r="C666" s="6">
        <v>121</v>
      </c>
      <c r="D666" s="37"/>
      <c r="E666" s="4">
        <v>2.5000000000000001E-2</v>
      </c>
      <c r="F666" s="4">
        <f t="shared" si="394"/>
        <v>1.0219310692113339</v>
      </c>
      <c r="G666" s="40">
        <f t="shared" si="386"/>
        <v>202.19310692113353</v>
      </c>
      <c r="H666" s="37"/>
      <c r="I666" s="4">
        <v>2.5499999999999998E-2</v>
      </c>
      <c r="J666" s="4">
        <f t="shared" si="387"/>
        <v>1.2348529869449427</v>
      </c>
      <c r="K666" s="40">
        <f t="shared" si="388"/>
        <v>223.48529869449428</v>
      </c>
      <c r="L666" s="37"/>
      <c r="M666" s="4">
        <v>3.9900000000000005E-2</v>
      </c>
      <c r="N666" s="4">
        <f t="shared" si="395"/>
        <v>1.8254311484825112</v>
      </c>
      <c r="O666" s="40">
        <f t="shared" si="389"/>
        <v>282.54311484825132</v>
      </c>
    </row>
    <row r="667" spans="1:15" ht="13.5" x14ac:dyDescent="0.25">
      <c r="A667" s="2">
        <v>44104</v>
      </c>
      <c r="B667" s="49">
        <v>61689587.799999997</v>
      </c>
      <c r="C667" s="6">
        <v>121</v>
      </c>
      <c r="D667" s="36">
        <f>(1+E665)*(1+E666)*(1+E667)-1</f>
        <v>3.5967745999999856E-2</v>
      </c>
      <c r="E667" s="4">
        <v>-1.52E-2</v>
      </c>
      <c r="F667" s="4">
        <f t="shared" si="394"/>
        <v>0.99119771695932157</v>
      </c>
      <c r="G667" s="40">
        <f t="shared" si="386"/>
        <v>199.11977169593231</v>
      </c>
      <c r="H667" s="36">
        <f>(1+I665)*(1+I666)*(1+I667)-1</f>
        <v>3.8540750239999921E-2</v>
      </c>
      <c r="I667" s="4">
        <v>-1.41E-2</v>
      </c>
      <c r="J667" s="4">
        <f t="shared" si="387"/>
        <v>1.2033415598290191</v>
      </c>
      <c r="K667" s="40">
        <f t="shared" si="388"/>
        <v>220.3341559829019</v>
      </c>
      <c r="L667" s="36">
        <f>(1+M665)*(1+M666)*(1+M667)-1</f>
        <v>5.6418395540000166E-2</v>
      </c>
      <c r="M667" s="4">
        <v>-2.2999999999999996E-2</v>
      </c>
      <c r="N667" s="4">
        <f t="shared" si="395"/>
        <v>1.7604462320674132</v>
      </c>
      <c r="O667" s="40">
        <f t="shared" si="389"/>
        <v>276.04462320674156</v>
      </c>
    </row>
    <row r="668" spans="1:15" ht="13.5" x14ac:dyDescent="0.25">
      <c r="A668" s="2">
        <v>44135</v>
      </c>
      <c r="B668" s="49">
        <v>62441982.390000001</v>
      </c>
      <c r="C668" s="6">
        <v>125</v>
      </c>
      <c r="D668" s="37"/>
      <c r="E668" s="4">
        <v>-1.8100000000000002E-2</v>
      </c>
      <c r="F668" s="4">
        <f t="shared" ref="F668:F673" si="396">(F667+1)*(E668+1)-1</f>
        <v>0.95515703828235776</v>
      </c>
      <c r="G668" s="40">
        <f t="shared" si="386"/>
        <v>195.51570382823593</v>
      </c>
      <c r="H668" s="37"/>
      <c r="I668" s="4">
        <v>-1.72E-2</v>
      </c>
      <c r="J668" s="4">
        <f t="shared" si="387"/>
        <v>1.1654440849999599</v>
      </c>
      <c r="K668" s="40">
        <f t="shared" si="388"/>
        <v>216.544408499996</v>
      </c>
      <c r="L668" s="37"/>
      <c r="M668" s="4">
        <v>-1.7759999999999998E-2</v>
      </c>
      <c r="N668" s="4">
        <f t="shared" ref="N668:N673" si="397">(N667+1)*(M668+1)-1</f>
        <v>1.711420706985896</v>
      </c>
      <c r="O668" s="40">
        <f t="shared" si="389"/>
        <v>271.14207069858981</v>
      </c>
    </row>
    <row r="669" spans="1:15" ht="13.5" x14ac:dyDescent="0.25">
      <c r="A669" s="2">
        <v>44165</v>
      </c>
      <c r="B669" s="49">
        <v>66354070.950000003</v>
      </c>
      <c r="C669" s="6">
        <v>121</v>
      </c>
      <c r="D669" s="37"/>
      <c r="E669" s="4">
        <v>7.2999999999999995E-2</v>
      </c>
      <c r="F669" s="4">
        <f t="shared" si="396"/>
        <v>1.0978835020769697</v>
      </c>
      <c r="G669" s="40">
        <f t="shared" si="386"/>
        <v>209.78835020769714</v>
      </c>
      <c r="H669" s="37"/>
      <c r="I669" s="4">
        <v>7.3599999999999999E-2</v>
      </c>
      <c r="J669" s="4">
        <f t="shared" si="387"/>
        <v>1.3248207696559566</v>
      </c>
      <c r="K669" s="40">
        <f t="shared" si="388"/>
        <v>232.48207696559567</v>
      </c>
      <c r="L669" s="37"/>
      <c r="M669" s="4">
        <v>6.9619999999999987E-2</v>
      </c>
      <c r="N669" s="4">
        <f t="shared" si="397"/>
        <v>1.9001898166062543</v>
      </c>
      <c r="O669" s="40">
        <f t="shared" si="389"/>
        <v>290.01898166062563</v>
      </c>
    </row>
    <row r="670" spans="1:15" ht="13.5" x14ac:dyDescent="0.25">
      <c r="A670" s="2">
        <v>44196</v>
      </c>
      <c r="B670" s="49">
        <v>67265776.439999998</v>
      </c>
      <c r="C670" s="6">
        <v>123</v>
      </c>
      <c r="D670" s="36">
        <f>(1+E668)*(1+E669)*(1+E670)-1</f>
        <v>7.5387779089999718E-2</v>
      </c>
      <c r="E670" s="4">
        <v>2.07E-2</v>
      </c>
      <c r="F670" s="4">
        <f t="shared" si="396"/>
        <v>1.1413096905699627</v>
      </c>
      <c r="G670" s="40">
        <f t="shared" si="386"/>
        <v>214.13096905699646</v>
      </c>
      <c r="H670" s="36">
        <f>(1+I668)*(1+I669)*(1+I670)-1</f>
        <v>7.8241516352000051E-2</v>
      </c>
      <c r="I670" s="4">
        <v>2.1899999999999999E-2</v>
      </c>
      <c r="J670" s="4">
        <f t="shared" si="387"/>
        <v>1.3757343445114221</v>
      </c>
      <c r="K670" s="40">
        <f t="shared" si="388"/>
        <v>237.57343445114222</v>
      </c>
      <c r="L670" s="36">
        <f>(1+M668)*(1+M669)*(1+M670)-1</f>
        <v>7.5418264551680103E-2</v>
      </c>
      <c r="M670" s="4">
        <v>2.3599999999999999E-2</v>
      </c>
      <c r="N670" s="4">
        <f t="shared" si="397"/>
        <v>1.9686342962781622</v>
      </c>
      <c r="O670" s="40">
        <f t="shared" si="389"/>
        <v>296.8634296278164</v>
      </c>
    </row>
    <row r="671" spans="1:15" ht="13.5" x14ac:dyDescent="0.25">
      <c r="A671" s="2">
        <v>44227</v>
      </c>
      <c r="B671" s="49">
        <v>68138013.200000003</v>
      </c>
      <c r="C671" s="6">
        <v>124</v>
      </c>
      <c r="D671" s="37"/>
      <c r="E671" s="4">
        <v>-1.01E-2</v>
      </c>
      <c r="F671" s="4">
        <f t="shared" si="396"/>
        <v>1.1196824626952062</v>
      </c>
      <c r="G671" s="40">
        <f t="shared" si="386"/>
        <v>211.96824626952079</v>
      </c>
      <c r="H671" s="37"/>
      <c r="I671" s="4">
        <v>-9.1999999999999998E-3</v>
      </c>
      <c r="J671" s="4">
        <f t="shared" si="387"/>
        <v>1.3538775885419172</v>
      </c>
      <c r="K671" s="40">
        <f t="shared" si="388"/>
        <v>235.3877588541917</v>
      </c>
      <c r="L671" s="37"/>
      <c r="M671" s="4">
        <v>-8.94E-3</v>
      </c>
      <c r="N671" s="4">
        <f t="shared" si="397"/>
        <v>1.9420947056694358</v>
      </c>
      <c r="O671" s="40">
        <f t="shared" si="389"/>
        <v>294.20947056694376</v>
      </c>
    </row>
    <row r="672" spans="1:15" ht="13.5" x14ac:dyDescent="0.25">
      <c r="A672" s="2">
        <v>44255</v>
      </c>
      <c r="B672" s="49">
        <v>67614708.150000006</v>
      </c>
      <c r="C672" s="6">
        <v>119</v>
      </c>
      <c r="D672" s="37"/>
      <c r="E672" s="4">
        <v>1.9300000000000001E-2</v>
      </c>
      <c r="F672" s="4">
        <f t="shared" si="396"/>
        <v>1.1605923342252238</v>
      </c>
      <c r="G672" s="40">
        <f t="shared" si="386"/>
        <v>216.05923342252257</v>
      </c>
      <c r="H672" s="37"/>
      <c r="I672" s="4">
        <v>1.9800000000000002E-2</v>
      </c>
      <c r="J672" s="4">
        <f t="shared" si="387"/>
        <v>1.4004843647950471</v>
      </c>
      <c r="K672" s="40">
        <f t="shared" si="388"/>
        <v>240.04843647950472</v>
      </c>
      <c r="L672" s="37"/>
      <c r="M672" s="4">
        <v>1.0799999999999997E-2</v>
      </c>
      <c r="N672" s="4">
        <f t="shared" si="397"/>
        <v>1.9738693284906654</v>
      </c>
      <c r="O672" s="40">
        <f t="shared" si="389"/>
        <v>297.38693284906674</v>
      </c>
    </row>
    <row r="673" spans="1:15" ht="13.5" x14ac:dyDescent="0.25">
      <c r="A673" s="2">
        <v>44286</v>
      </c>
      <c r="B673" s="49">
        <v>70581361.640000001</v>
      </c>
      <c r="C673" s="6">
        <v>120</v>
      </c>
      <c r="D673" s="36">
        <f>(1+E671)*(1+E672)*(1+E673)-1</f>
        <v>5.0777879898000311E-2</v>
      </c>
      <c r="E673" s="4">
        <v>4.1399999999999999E-2</v>
      </c>
      <c r="F673" s="4">
        <f t="shared" si="396"/>
        <v>1.2500408568621482</v>
      </c>
      <c r="G673" s="40">
        <f t="shared" si="386"/>
        <v>225.00408568621503</v>
      </c>
      <c r="H673" s="36">
        <f>(1+I671)*(1+I672)*(1+I673)-1</f>
        <v>5.3461639983999998E-2</v>
      </c>
      <c r="I673" s="4">
        <v>4.2599999999999999E-2</v>
      </c>
      <c r="J673" s="4">
        <f t="shared" si="387"/>
        <v>1.5027449987353161</v>
      </c>
      <c r="K673" s="40">
        <f t="shared" si="388"/>
        <v>250.2744998735316</v>
      </c>
      <c r="L673" s="36">
        <f>(1+M671)*(1+M672)*(1+M673)-1</f>
        <v>2.3080974173439905E-2</v>
      </c>
      <c r="M673" s="4">
        <v>2.1279999999999997E-2</v>
      </c>
      <c r="N673" s="4">
        <f t="shared" si="397"/>
        <v>2.0371532678009467</v>
      </c>
      <c r="O673" s="40">
        <f t="shared" si="389"/>
        <v>303.71532678009487</v>
      </c>
    </row>
    <row r="674" spans="1:15" ht="13.5" x14ac:dyDescent="0.25">
      <c r="A674" s="2">
        <v>44316</v>
      </c>
      <c r="B674" s="49">
        <v>72512368.319999993</v>
      </c>
      <c r="C674" s="6">
        <v>121</v>
      </c>
      <c r="D674" s="37"/>
      <c r="E674" s="4">
        <v>1.89E-2</v>
      </c>
      <c r="F674" s="4">
        <f t="shared" ref="F674:F682" si="398">(F673+1)*(E674+1)-1</f>
        <v>1.2925666290568425</v>
      </c>
      <c r="G674" s="40">
        <f t="shared" si="386"/>
        <v>229.25666290568449</v>
      </c>
      <c r="H674" s="37"/>
      <c r="I674" s="4">
        <v>1.9900000000000001E-2</v>
      </c>
      <c r="J674" s="4">
        <f t="shared" si="387"/>
        <v>1.5525496242101489</v>
      </c>
      <c r="K674" s="40">
        <f t="shared" si="388"/>
        <v>255.25496242101488</v>
      </c>
      <c r="L674" s="37"/>
      <c r="M674" s="4">
        <v>3.5200000000000002E-2</v>
      </c>
      <c r="N674" s="4">
        <f t="shared" ref="N674:N682" si="399">(N673+1)*(M674+1)-1</f>
        <v>2.1440610628275398</v>
      </c>
      <c r="O674" s="40">
        <f t="shared" si="389"/>
        <v>314.40610628275419</v>
      </c>
    </row>
    <row r="675" spans="1:15" ht="13.5" x14ac:dyDescent="0.25">
      <c r="A675" s="2">
        <v>44347</v>
      </c>
      <c r="B675" s="49">
        <v>73174047.019999996</v>
      </c>
      <c r="C675" s="6">
        <v>120</v>
      </c>
      <c r="D675" s="37"/>
      <c r="E675" s="4">
        <v>1.21E-2</v>
      </c>
      <c r="F675" s="4">
        <f t="shared" si="398"/>
        <v>1.3203066852684304</v>
      </c>
      <c r="G675" s="40">
        <f t="shared" si="386"/>
        <v>232.03066852684327</v>
      </c>
      <c r="H675" s="37"/>
      <c r="I675" s="4">
        <v>1.26E-2</v>
      </c>
      <c r="J675" s="4">
        <f t="shared" si="387"/>
        <v>1.5847117494751966</v>
      </c>
      <c r="K675" s="40">
        <f t="shared" si="388"/>
        <v>258.47117494751967</v>
      </c>
      <c r="L675" s="37"/>
      <c r="M675" s="4">
        <v>5.5199999999999997E-3</v>
      </c>
      <c r="N675" s="4">
        <f t="shared" si="399"/>
        <v>2.1614162798943477</v>
      </c>
      <c r="O675" s="40">
        <f t="shared" si="389"/>
        <v>316.14162798943499</v>
      </c>
    </row>
    <row r="676" spans="1:15" ht="13.5" x14ac:dyDescent="0.25">
      <c r="A676" s="2">
        <v>44377</v>
      </c>
      <c r="B676" s="49">
        <v>73602784.420000002</v>
      </c>
      <c r="C676" s="6">
        <v>123</v>
      </c>
      <c r="D676" s="36">
        <f>(1+E674)*(1+E675)*(1+E676)-1</f>
        <v>2.7310020977999727E-2</v>
      </c>
      <c r="E676" s="4">
        <v>-3.8E-3</v>
      </c>
      <c r="F676" s="4">
        <f t="shared" si="398"/>
        <v>1.3114895198644105</v>
      </c>
      <c r="G676" s="40">
        <f t="shared" si="386"/>
        <v>231.14895198644126</v>
      </c>
      <c r="H676" s="36">
        <f>(1+I674)*(1+I675)*(1+I676)-1</f>
        <v>3.0065588075999905E-2</v>
      </c>
      <c r="I676" s="4">
        <v>-2.5999999999999999E-3</v>
      </c>
      <c r="J676" s="4">
        <f t="shared" si="387"/>
        <v>1.5779914989265609</v>
      </c>
      <c r="K676" s="40">
        <f t="shared" si="388"/>
        <v>257.79914989265609</v>
      </c>
      <c r="L676" s="36">
        <f>(1+M674)*(1+M675)*(1+M676)-1</f>
        <v>5.8380846021119925E-2</v>
      </c>
      <c r="M676" s="4">
        <v>1.6780000000000003E-2</v>
      </c>
      <c r="N676" s="4">
        <f t="shared" si="399"/>
        <v>2.214464845070975</v>
      </c>
      <c r="O676" s="40">
        <f t="shared" si="389"/>
        <v>321.44648450709769</v>
      </c>
    </row>
    <row r="677" spans="1:15" ht="13.5" x14ac:dyDescent="0.25">
      <c r="A677" s="2">
        <v>44408</v>
      </c>
      <c r="B677" s="49">
        <v>76518036.629999995</v>
      </c>
      <c r="C677" s="6">
        <v>121</v>
      </c>
      <c r="D677" s="37"/>
      <c r="E677" s="4">
        <v>8.3000000000000001E-3</v>
      </c>
      <c r="F677" s="4">
        <f t="shared" si="398"/>
        <v>1.3306748828792849</v>
      </c>
      <c r="G677" s="40">
        <f t="shared" si="386"/>
        <v>233.06748828792871</v>
      </c>
      <c r="H677" s="37"/>
      <c r="I677" s="4">
        <v>9.1000000000000004E-3</v>
      </c>
      <c r="J677" s="4">
        <f t="shared" ref="J677:J708" si="400">(J676+1)*(I677+1)-1</f>
        <v>1.6014512215667929</v>
      </c>
      <c r="K677" s="40">
        <f t="shared" si="388"/>
        <v>260.14512215667929</v>
      </c>
      <c r="L677" s="37"/>
      <c r="M677" s="4">
        <v>1.8760000000000002E-2</v>
      </c>
      <c r="N677" s="4">
        <f t="shared" si="399"/>
        <v>2.2747682055645067</v>
      </c>
      <c r="O677" s="40">
        <f t="shared" si="389"/>
        <v>327.47682055645089</v>
      </c>
    </row>
    <row r="678" spans="1:15" ht="13.5" x14ac:dyDescent="0.25">
      <c r="A678" s="2">
        <v>44439</v>
      </c>
      <c r="B678" s="49">
        <v>73266723.599999994</v>
      </c>
      <c r="C678" s="6">
        <v>120</v>
      </c>
      <c r="D678" s="37"/>
      <c r="E678" s="4">
        <v>6.7000000000000002E-3</v>
      </c>
      <c r="F678" s="4">
        <f t="shared" si="398"/>
        <v>1.3462904045945758</v>
      </c>
      <c r="G678" s="40">
        <f t="shared" si="386"/>
        <v>234.62904045945783</v>
      </c>
      <c r="H678" s="37"/>
      <c r="I678" s="4">
        <v>7.1999999999999998E-3</v>
      </c>
      <c r="J678" s="4">
        <f t="shared" si="400"/>
        <v>1.6201816703620739</v>
      </c>
      <c r="K678" s="40">
        <f t="shared" si="388"/>
        <v>262.01816703620739</v>
      </c>
      <c r="L678" s="37"/>
      <c r="M678" s="4">
        <v>1.7479999999999999E-2</v>
      </c>
      <c r="N678" s="4">
        <f t="shared" si="399"/>
        <v>2.3320111537977741</v>
      </c>
      <c r="O678" s="40">
        <f t="shared" si="389"/>
        <v>333.2011153797776</v>
      </c>
    </row>
    <row r="679" spans="1:15" ht="13.5" x14ac:dyDescent="0.25">
      <c r="A679" s="2">
        <v>44469</v>
      </c>
      <c r="B679" s="49">
        <v>71953879.659999996</v>
      </c>
      <c r="C679" s="6">
        <v>120</v>
      </c>
      <c r="D679" s="36">
        <f>(1+E677)*(1+E678)*(1+E679)-1</f>
        <v>-4.0274354680001068E-3</v>
      </c>
      <c r="E679" s="4">
        <v>-1.8800000000000001E-2</v>
      </c>
      <c r="F679" s="4">
        <f t="shared" si="398"/>
        <v>1.3021801449881978</v>
      </c>
      <c r="G679" s="40">
        <f t="shared" si="386"/>
        <v>230.21801449882</v>
      </c>
      <c r="H679" s="36">
        <f>(1+I677)*(1+I678)*(1+I679)-1</f>
        <v>-1.6241497039999331E-3</v>
      </c>
      <c r="I679" s="4">
        <v>-1.77E-2</v>
      </c>
      <c r="J679" s="4">
        <f t="shared" si="400"/>
        <v>1.5738044547966652</v>
      </c>
      <c r="K679" s="40">
        <f t="shared" si="388"/>
        <v>257.38044547966649</v>
      </c>
      <c r="L679" s="36">
        <f>(1+M677)*(1+M678)*(1+M679)-1</f>
        <v>4.0404233197761652E-3</v>
      </c>
      <c r="M679" s="4">
        <v>-3.1379999999999998E-2</v>
      </c>
      <c r="N679" s="4">
        <f t="shared" si="399"/>
        <v>2.2274526437916</v>
      </c>
      <c r="O679" s="40">
        <f t="shared" si="389"/>
        <v>322.74526437916018</v>
      </c>
    </row>
    <row r="680" spans="1:15" ht="13.5" x14ac:dyDescent="0.25">
      <c r="A680" s="2">
        <v>44500</v>
      </c>
      <c r="B680" s="49">
        <v>71661885.439999998</v>
      </c>
      <c r="C680" s="6">
        <v>118</v>
      </c>
      <c r="D680" s="37"/>
      <c r="E680" s="4">
        <v>2.47E-2</v>
      </c>
      <c r="F680" s="4">
        <f t="shared" si="398"/>
        <v>1.3590439945694062</v>
      </c>
      <c r="G680" s="40">
        <f t="shared" si="386"/>
        <v>235.90439945694084</v>
      </c>
      <c r="H680" s="37"/>
      <c r="I680" s="4">
        <v>2.5499999999999998E-2</v>
      </c>
      <c r="J680" s="4">
        <f t="shared" si="400"/>
        <v>1.6394364683939804</v>
      </c>
      <c r="K680" s="40">
        <f t="shared" si="388"/>
        <v>263.94364683939801</v>
      </c>
      <c r="L680" s="37"/>
      <c r="M680" s="4">
        <v>4.1939999999999991E-2</v>
      </c>
      <c r="N680" s="4">
        <f t="shared" si="399"/>
        <v>2.3628120076722201</v>
      </c>
      <c r="O680" s="40">
        <f t="shared" si="389"/>
        <v>336.28120076722217</v>
      </c>
    </row>
    <row r="681" spans="1:15" ht="13.5" x14ac:dyDescent="0.25">
      <c r="A681" s="2">
        <v>44530</v>
      </c>
      <c r="B681" s="49">
        <v>72430771.849999994</v>
      </c>
      <c r="C681" s="6">
        <v>120</v>
      </c>
      <c r="D681" s="37"/>
      <c r="E681" s="4">
        <v>-1.84E-2</v>
      </c>
      <c r="F681" s="4">
        <f t="shared" si="398"/>
        <v>1.3156375850693292</v>
      </c>
      <c r="G681" s="40">
        <f t="shared" si="386"/>
        <v>231.56375850693314</v>
      </c>
      <c r="H681" s="37"/>
      <c r="I681" s="4">
        <v>-1.7899999999999999E-2</v>
      </c>
      <c r="J681" s="4">
        <f t="shared" si="400"/>
        <v>1.592190555609728</v>
      </c>
      <c r="K681" s="40">
        <f t="shared" si="388"/>
        <v>259.21905556097278</v>
      </c>
      <c r="L681" s="37"/>
      <c r="M681" s="4">
        <v>-2.9399999999999995E-3</v>
      </c>
      <c r="N681" s="4">
        <f t="shared" si="399"/>
        <v>2.3529253403696635</v>
      </c>
      <c r="O681" s="40">
        <f t="shared" si="389"/>
        <v>335.29253403696652</v>
      </c>
    </row>
    <row r="682" spans="1:15" ht="13.5" x14ac:dyDescent="0.25">
      <c r="A682" s="2">
        <v>44561</v>
      </c>
      <c r="B682" s="49">
        <v>75658986.870000005</v>
      </c>
      <c r="C682" s="6">
        <v>120</v>
      </c>
      <c r="D682" s="36">
        <f>(1+E680)*(1+E681)*(1+E682)-1</f>
        <v>5.0706230192000046E-2</v>
      </c>
      <c r="E682" s="4">
        <v>4.4600000000000001E-2</v>
      </c>
      <c r="F682" s="4">
        <f t="shared" si="398"/>
        <v>1.418915021363421</v>
      </c>
      <c r="G682" s="40">
        <f t="shared" si="386"/>
        <v>241.89150213634235</v>
      </c>
      <c r="H682" s="36">
        <f>(1+I680)*(1+I681)*(1+I682)-1</f>
        <v>5.3270724590000151E-2</v>
      </c>
      <c r="I682" s="4">
        <v>4.58E-2</v>
      </c>
      <c r="J682" s="4">
        <f t="shared" si="400"/>
        <v>1.7109128830566536</v>
      </c>
      <c r="K682" s="40">
        <f t="shared" si="388"/>
        <v>271.09128830566533</v>
      </c>
      <c r="L682" s="36">
        <f>(1+M680)*(1+M681)*(1+M682)-1</f>
        <v>6.5721270234976092E-2</v>
      </c>
      <c r="M682" s="4">
        <v>2.5839999999999998E-2</v>
      </c>
      <c r="N682" s="4">
        <f t="shared" si="399"/>
        <v>2.4395649311648158</v>
      </c>
      <c r="O682" s="40">
        <f t="shared" si="389"/>
        <v>343.95649311648174</v>
      </c>
    </row>
    <row r="683" spans="1:15" ht="13.5" x14ac:dyDescent="0.25">
      <c r="A683" s="2">
        <v>44592</v>
      </c>
      <c r="B683" s="49">
        <v>75076419.719999999</v>
      </c>
      <c r="C683" s="6">
        <v>121</v>
      </c>
      <c r="D683" s="37"/>
      <c r="E683" s="4">
        <v>-6.8999999999999999E-3</v>
      </c>
      <c r="F683" s="4">
        <f t="shared" ref="F683:F688" si="401">(F682+1)*(E683+1)-1</f>
        <v>1.4022245077160131</v>
      </c>
      <c r="G683" s="40">
        <f t="shared" si="386"/>
        <v>240.22245077160159</v>
      </c>
      <c r="H683" s="37"/>
      <c r="I683" s="4">
        <v>-5.8999999999999999E-3</v>
      </c>
      <c r="J683" s="4">
        <f t="shared" si="400"/>
        <v>1.6949184970466193</v>
      </c>
      <c r="K683" s="40">
        <f t="shared" si="388"/>
        <v>269.49184970466189</v>
      </c>
      <c r="L683" s="37"/>
      <c r="M683" s="4">
        <v>-3.9620000000000002E-2</v>
      </c>
      <c r="N683" s="4">
        <f t="shared" ref="N683:N688" si="402">(N682+1)*(M683+1)-1</f>
        <v>2.3032893685920657</v>
      </c>
      <c r="O683" s="40">
        <f t="shared" si="389"/>
        <v>330.32893685920675</v>
      </c>
    </row>
    <row r="684" spans="1:15" ht="13.5" x14ac:dyDescent="0.25">
      <c r="A684" s="2">
        <v>44620</v>
      </c>
      <c r="B684" s="49">
        <v>74322769.090000004</v>
      </c>
      <c r="C684" s="6">
        <v>120</v>
      </c>
      <c r="D684" s="37"/>
      <c r="E684" s="4">
        <v>-7.6E-3</v>
      </c>
      <c r="F684" s="4">
        <f t="shared" si="401"/>
        <v>1.3839676014573712</v>
      </c>
      <c r="G684" s="40">
        <f t="shared" si="386"/>
        <v>238.3967601457374</v>
      </c>
      <c r="H684" s="37"/>
      <c r="I684" s="4">
        <v>-7.1999999999999998E-3</v>
      </c>
      <c r="J684" s="4">
        <f t="shared" si="400"/>
        <v>1.6755150838678836</v>
      </c>
      <c r="K684" s="40">
        <f t="shared" si="388"/>
        <v>267.55150838678833</v>
      </c>
      <c r="L684" s="37"/>
      <c r="M684" s="4">
        <v>-2.2419999999999999E-2</v>
      </c>
      <c r="N684" s="4">
        <f t="shared" si="402"/>
        <v>2.2292296209482316</v>
      </c>
      <c r="O684" s="40">
        <f t="shared" si="389"/>
        <v>322.92296209482333</v>
      </c>
    </row>
    <row r="685" spans="1:15" ht="13.5" x14ac:dyDescent="0.25">
      <c r="A685" s="2">
        <v>44651</v>
      </c>
      <c r="B685" s="49">
        <v>75373003.950000003</v>
      </c>
      <c r="C685" s="6">
        <v>120</v>
      </c>
      <c r="D685" s="36">
        <f>(1+E683)*(1+E684)*(1+E685)-1</f>
        <v>4.3428184399996184E-4</v>
      </c>
      <c r="E685" s="4">
        <v>1.5100000000000001E-2</v>
      </c>
      <c r="F685" s="4">
        <f t="shared" si="401"/>
        <v>1.4199655122393771</v>
      </c>
      <c r="G685" s="40">
        <f t="shared" si="386"/>
        <v>241.99655122393801</v>
      </c>
      <c r="H685" s="36">
        <f>(1+I683)*(1+I684)*(1+I685)-1</f>
        <v>2.9309481760000367E-3</v>
      </c>
      <c r="I685" s="4">
        <v>1.6199999999999999E-2</v>
      </c>
      <c r="J685" s="4">
        <f t="shared" si="400"/>
        <v>1.7188584282265431</v>
      </c>
      <c r="K685" s="40">
        <f t="shared" si="388"/>
        <v>271.8858428226543</v>
      </c>
      <c r="L685" s="36">
        <f>(1+M683)*(1+M684)*(1+M685)-1</f>
        <v>-5.0692949756344086E-2</v>
      </c>
      <c r="M685" s="4">
        <v>1.1139999999999999E-2</v>
      </c>
      <c r="N685" s="4">
        <f t="shared" si="402"/>
        <v>2.2652032389255945</v>
      </c>
      <c r="O685" s="40">
        <f t="shared" si="389"/>
        <v>326.52032389255965</v>
      </c>
    </row>
    <row r="686" spans="1:15" ht="13.5" x14ac:dyDescent="0.25">
      <c r="A686" s="2">
        <v>44681</v>
      </c>
      <c r="B686" s="49">
        <v>73292766.659999996</v>
      </c>
      <c r="C686" s="6">
        <v>122</v>
      </c>
      <c r="D686" s="37"/>
      <c r="E686" s="4">
        <v>-3.1699999999999999E-2</v>
      </c>
      <c r="F686" s="4">
        <f t="shared" si="401"/>
        <v>1.3432526055013891</v>
      </c>
      <c r="G686" s="40">
        <f t="shared" si="386"/>
        <v>234.32526055013918</v>
      </c>
      <c r="H686" s="37"/>
      <c r="I686" s="4">
        <v>-3.0800000000000001E-2</v>
      </c>
      <c r="J686" s="4">
        <f t="shared" si="400"/>
        <v>1.6351175886371654</v>
      </c>
      <c r="K686" s="40">
        <f t="shared" si="388"/>
        <v>263.51175886371652</v>
      </c>
      <c r="L686" s="37"/>
      <c r="M686" s="4">
        <v>-6.7479999999999998E-2</v>
      </c>
      <c r="N686" s="4">
        <f t="shared" si="402"/>
        <v>2.0448673243628956</v>
      </c>
      <c r="O686" s="40">
        <f t="shared" si="389"/>
        <v>304.48673243628974</v>
      </c>
    </row>
    <row r="687" spans="1:15" ht="13.5" x14ac:dyDescent="0.25">
      <c r="A687" s="2">
        <v>44712</v>
      </c>
      <c r="B687" s="49">
        <v>75186341.120000005</v>
      </c>
      <c r="C687" s="6">
        <v>122</v>
      </c>
      <c r="D687" s="37"/>
      <c r="E687" s="4">
        <v>1.95E-2</v>
      </c>
      <c r="F687" s="4">
        <f t="shared" si="401"/>
        <v>1.3889460313086666</v>
      </c>
      <c r="G687" s="40">
        <f t="shared" si="386"/>
        <v>238.8946031308669</v>
      </c>
      <c r="H687" s="37"/>
      <c r="I687" s="4">
        <v>1.9900000000000001E-2</v>
      </c>
      <c r="J687" s="4">
        <f t="shared" si="400"/>
        <v>1.6875564286510452</v>
      </c>
      <c r="K687" s="40">
        <f t="shared" si="388"/>
        <v>268.75564286510451</v>
      </c>
      <c r="L687" s="37"/>
      <c r="M687" s="4">
        <v>3.64E-3</v>
      </c>
      <c r="N687" s="4">
        <f t="shared" si="402"/>
        <v>2.0559506414235766</v>
      </c>
      <c r="O687" s="40">
        <f t="shared" si="389"/>
        <v>305.59506414235784</v>
      </c>
    </row>
    <row r="688" spans="1:15" ht="13.5" x14ac:dyDescent="0.25">
      <c r="A688" s="2">
        <v>44742</v>
      </c>
      <c r="B688" s="49">
        <v>69932348.870000005</v>
      </c>
      <c r="C688" s="6">
        <v>119</v>
      </c>
      <c r="D688" s="36">
        <f>(1+E686)*(1+E687)*(1+E688)-1</f>
        <v>-6.1091342464999809E-2</v>
      </c>
      <c r="E688" s="4">
        <v>-4.8899999999999999E-2</v>
      </c>
      <c r="F688" s="4">
        <f t="shared" si="401"/>
        <v>1.2721265703776727</v>
      </c>
      <c r="G688" s="40">
        <f t="shared" si="386"/>
        <v>227.21265703776751</v>
      </c>
      <c r="H688" s="36">
        <f>(1+I686)*(1+I687)*(1+I688)-1</f>
        <v>-5.8762602423999999E-2</v>
      </c>
      <c r="I688" s="4">
        <v>-4.7800000000000002E-2</v>
      </c>
      <c r="J688" s="4">
        <f t="shared" si="400"/>
        <v>1.5590912313615255</v>
      </c>
      <c r="K688" s="40">
        <f t="shared" si="388"/>
        <v>255.90912313615252</v>
      </c>
      <c r="L688" s="36">
        <f>(1+M686)*(1+M687)*(1+M688)-1</f>
        <v>-0.11629093091478393</v>
      </c>
      <c r="M688" s="4">
        <v>-5.5780000000000003E-2</v>
      </c>
      <c r="N688" s="4">
        <f t="shared" si="402"/>
        <v>1.8854897146449692</v>
      </c>
      <c r="O688" s="40">
        <f t="shared" si="389"/>
        <v>288.54897146449713</v>
      </c>
    </row>
    <row r="689" spans="1:15" ht="13.5" x14ac:dyDescent="0.25">
      <c r="A689" s="2">
        <v>44773</v>
      </c>
      <c r="B689" s="49">
        <v>73582391.150000006</v>
      </c>
      <c r="C689" s="6">
        <v>123</v>
      </c>
      <c r="D689" s="37"/>
      <c r="E689" s="4">
        <v>0.03</v>
      </c>
      <c r="F689" s="4">
        <f t="shared" ref="F689:F697" si="403">(F688+1)*(E689+1)-1</f>
        <v>1.3402903674890028</v>
      </c>
      <c r="G689" s="40">
        <f t="shared" si="386"/>
        <v>234.02903674890055</v>
      </c>
      <c r="H689" s="37"/>
      <c r="I689" s="4">
        <v>3.09E-2</v>
      </c>
      <c r="J689" s="4">
        <f t="shared" si="400"/>
        <v>1.6381671504105966</v>
      </c>
      <c r="K689" s="40">
        <f t="shared" si="388"/>
        <v>263.81671504105964</v>
      </c>
      <c r="L689" s="37"/>
      <c r="M689" s="4">
        <v>6.5079999999999999E-2</v>
      </c>
      <c r="N689" s="4">
        <f t="shared" ref="N689:N697" si="404">(N688+1)*(M689+1)-1</f>
        <v>2.0732773852740638</v>
      </c>
      <c r="O689" s="40">
        <f t="shared" si="389"/>
        <v>307.32773852740661</v>
      </c>
    </row>
    <row r="690" spans="1:15" ht="13.5" x14ac:dyDescent="0.25">
      <c r="A690" s="2">
        <v>44804</v>
      </c>
      <c r="B690" s="49">
        <v>71958816.209999993</v>
      </c>
      <c r="C690" s="6">
        <v>124</v>
      </c>
      <c r="D690" s="37"/>
      <c r="E690" s="4">
        <v>-2.7199999999999998E-2</v>
      </c>
      <c r="F690" s="4">
        <f t="shared" si="403"/>
        <v>1.2766344694933021</v>
      </c>
      <c r="G690" s="40">
        <f t="shared" si="386"/>
        <v>227.66344694933045</v>
      </c>
      <c r="H690" s="37"/>
      <c r="I690" s="4">
        <v>-2.6700000000000002E-2</v>
      </c>
      <c r="J690" s="4">
        <f t="shared" si="400"/>
        <v>1.567728087494634</v>
      </c>
      <c r="K690" s="40">
        <f t="shared" si="388"/>
        <v>256.77280874946337</v>
      </c>
      <c r="L690" s="37"/>
      <c r="M690" s="4">
        <v>-3.5799999999999998E-2</v>
      </c>
      <c r="N690" s="4">
        <f t="shared" si="404"/>
        <v>1.963254054881252</v>
      </c>
      <c r="O690" s="40">
        <f t="shared" si="389"/>
        <v>296.32540548812545</v>
      </c>
    </row>
    <row r="691" spans="1:15" ht="13.5" x14ac:dyDescent="0.25">
      <c r="A691" s="2">
        <v>44834</v>
      </c>
      <c r="B691" s="49">
        <v>69127514.469999999</v>
      </c>
      <c r="C691" s="6">
        <v>127</v>
      </c>
      <c r="D691" s="36">
        <f>(1+E689)*(1+E690)*(1+E691)-1</f>
        <v>-5.8235238400000111E-2</v>
      </c>
      <c r="E691" s="4">
        <v>-6.0100000000000001E-2</v>
      </c>
      <c r="F691" s="4">
        <f t="shared" si="403"/>
        <v>1.1398087378767543</v>
      </c>
      <c r="G691" s="40">
        <f t="shared" si="386"/>
        <v>213.98087378767568</v>
      </c>
      <c r="H691" s="36">
        <f>(1+I689)*(1+I690)*(1+I691)-1</f>
        <v>-5.5824153229999895E-2</v>
      </c>
      <c r="I691" s="4">
        <v>-5.8999999999999997E-2</v>
      </c>
      <c r="J691" s="4">
        <f t="shared" si="400"/>
        <v>1.4162321303324505</v>
      </c>
      <c r="K691" s="40">
        <f t="shared" si="388"/>
        <v>241.62321303324504</v>
      </c>
      <c r="L691" s="36">
        <f>(1+M689)*(1+M690)*(1+M691)-1</f>
        <v>-4.7544826865440037E-2</v>
      </c>
      <c r="M691" s="4">
        <v>-7.2539999999999993E-2</v>
      </c>
      <c r="N691" s="4">
        <f t="shared" si="404"/>
        <v>1.7482996057401659</v>
      </c>
      <c r="O691" s="40">
        <f t="shared" si="389"/>
        <v>274.82996057401681</v>
      </c>
    </row>
    <row r="692" spans="1:15" ht="13.5" x14ac:dyDescent="0.25">
      <c r="A692" s="2">
        <v>44865</v>
      </c>
      <c r="B692" s="49">
        <v>80377029.549999997</v>
      </c>
      <c r="C692" s="6">
        <v>137</v>
      </c>
      <c r="D692" s="37"/>
      <c r="E692" s="4">
        <v>7.0599999999999996E-2</v>
      </c>
      <c r="F692" s="4">
        <f t="shared" si="403"/>
        <v>1.2908792347708533</v>
      </c>
      <c r="G692" s="40">
        <f t="shared" si="386"/>
        <v>229.08792347708558</v>
      </c>
      <c r="H692" s="37"/>
      <c r="I692" s="4">
        <v>7.2099999999999997E-2</v>
      </c>
      <c r="J692" s="4">
        <f t="shared" si="400"/>
        <v>1.5904424669294204</v>
      </c>
      <c r="K692" s="40">
        <f t="shared" si="388"/>
        <v>259.04424669294201</v>
      </c>
      <c r="L692" s="37"/>
      <c r="M692" s="4">
        <v>4.3399999999999994E-2</v>
      </c>
      <c r="N692" s="4">
        <f t="shared" si="404"/>
        <v>1.8675758086292893</v>
      </c>
      <c r="O692" s="40">
        <f t="shared" si="389"/>
        <v>286.75758086292916</v>
      </c>
    </row>
    <row r="693" spans="1:15" ht="13.5" x14ac:dyDescent="0.25">
      <c r="A693" s="2">
        <v>44895</v>
      </c>
      <c r="B693" s="49">
        <v>100340154.09</v>
      </c>
      <c r="C693" s="6">
        <v>176</v>
      </c>
      <c r="D693" s="37"/>
      <c r="E693" s="4">
        <v>4.0300000000000002E-2</v>
      </c>
      <c r="F693" s="4">
        <f t="shared" si="403"/>
        <v>1.3832016679321186</v>
      </c>
      <c r="G693" s="40">
        <f t="shared" si="386"/>
        <v>238.32016679321214</v>
      </c>
      <c r="H693" s="37"/>
      <c r="I693" s="4">
        <v>4.0500000000000001E-2</v>
      </c>
      <c r="J693" s="4">
        <f t="shared" si="400"/>
        <v>1.6953553868400619</v>
      </c>
      <c r="K693" s="40">
        <f t="shared" si="388"/>
        <v>269.53553868400616</v>
      </c>
      <c r="L693" s="37"/>
      <c r="M693" s="4">
        <v>4.8259999999999997E-2</v>
      </c>
      <c r="N693" s="4">
        <f t="shared" si="404"/>
        <v>2.0059650171537386</v>
      </c>
      <c r="O693" s="40">
        <f t="shared" si="389"/>
        <v>300.59650171537413</v>
      </c>
    </row>
    <row r="694" spans="1:15" ht="13.5" x14ac:dyDescent="0.25">
      <c r="A694" s="2">
        <v>44926</v>
      </c>
      <c r="B694" s="49">
        <v>100174402.48</v>
      </c>
      <c r="C694" s="6">
        <v>187</v>
      </c>
      <c r="D694" s="36">
        <f>(1+E692)*(1+E693)*(1+E694)-1</f>
        <v>9.4922886458000066E-2</v>
      </c>
      <c r="E694" s="4">
        <v>-1.6899999999999998E-2</v>
      </c>
      <c r="F694" s="4">
        <f t="shared" si="403"/>
        <v>1.3429255597440659</v>
      </c>
      <c r="G694" s="40">
        <f t="shared" si="386"/>
        <v>234.29255597440684</v>
      </c>
      <c r="H694" s="36">
        <f>(1+I692)*(1+I693)*(1+I694)-1</f>
        <v>9.7448625189999971E-2</v>
      </c>
      <c r="I694" s="4">
        <v>-1.6199999999999999E-2</v>
      </c>
      <c r="J694" s="4">
        <f t="shared" si="400"/>
        <v>1.651690629573253</v>
      </c>
      <c r="K694" s="40">
        <f t="shared" si="388"/>
        <v>265.16906295732525</v>
      </c>
      <c r="L694" s="36">
        <f>(1+M692)*(1+M693)*(1+M694)-1</f>
        <v>5.3985570961760043E-2</v>
      </c>
      <c r="M694" s="4">
        <v>-3.6360000000000003E-2</v>
      </c>
      <c r="N694" s="4">
        <f t="shared" si="404"/>
        <v>1.8966681291300289</v>
      </c>
      <c r="O694" s="40">
        <f t="shared" si="389"/>
        <v>289.66681291300313</v>
      </c>
    </row>
    <row r="695" spans="1:15" ht="13.5" x14ac:dyDescent="0.25">
      <c r="A695" s="2">
        <v>44957</v>
      </c>
      <c r="B695" s="49">
        <v>102053212.78</v>
      </c>
      <c r="C695" s="6">
        <v>192</v>
      </c>
      <c r="D695" s="37"/>
      <c r="E695" s="4">
        <v>1.5100000000000001E-2</v>
      </c>
      <c r="F695" s="4">
        <f t="shared" si="403"/>
        <v>1.3783037356962011</v>
      </c>
      <c r="G695" s="40">
        <f t="shared" si="386"/>
        <v>237.83037356962035</v>
      </c>
      <c r="H695" s="37"/>
      <c r="I695" s="4">
        <v>1.66E-2</v>
      </c>
      <c r="J695" s="4">
        <f t="shared" si="400"/>
        <v>1.695708694024169</v>
      </c>
      <c r="K695" s="40">
        <f t="shared" si="388"/>
        <v>269.57086940241686</v>
      </c>
      <c r="L695" s="37"/>
      <c r="M695" s="4">
        <v>0.05</v>
      </c>
      <c r="N695" s="4">
        <f t="shared" si="404"/>
        <v>2.0415015355865305</v>
      </c>
      <c r="O695" s="40">
        <f t="shared" si="389"/>
        <v>304.1501535586533</v>
      </c>
    </row>
    <row r="696" spans="1:15" ht="13.5" x14ac:dyDescent="0.25">
      <c r="A696" s="2">
        <v>44985</v>
      </c>
      <c r="B696" s="49">
        <v>103241277.95999999</v>
      </c>
      <c r="C696" s="6">
        <v>195</v>
      </c>
      <c r="D696" s="37"/>
      <c r="E696" s="4">
        <v>-1.95E-2</v>
      </c>
      <c r="F696" s="4">
        <f t="shared" si="403"/>
        <v>1.3319268128501252</v>
      </c>
      <c r="G696" s="40">
        <f t="shared" si="386"/>
        <v>233.19268128501275</v>
      </c>
      <c r="H696" s="37"/>
      <c r="I696" s="4">
        <v>-1.9300000000000001E-2</v>
      </c>
      <c r="J696" s="4">
        <f t="shared" si="400"/>
        <v>1.6436815162295026</v>
      </c>
      <c r="K696" s="40">
        <f t="shared" si="388"/>
        <v>264.36815162295022</v>
      </c>
      <c r="L696" s="37"/>
      <c r="M696" s="4">
        <v>-2.5000000000000001E-2</v>
      </c>
      <c r="N696" s="4">
        <f t="shared" si="404"/>
        <v>1.965463997196867</v>
      </c>
      <c r="O696" s="40">
        <f t="shared" si="389"/>
        <v>296.54639971968697</v>
      </c>
    </row>
    <row r="697" spans="1:15" ht="13.5" x14ac:dyDescent="0.25">
      <c r="A697" s="2">
        <v>45016</v>
      </c>
      <c r="B697" s="49">
        <v>103807043.67</v>
      </c>
      <c r="C697" s="6">
        <v>194</v>
      </c>
      <c r="D697" s="36">
        <f>(1+E695)*(1+E696)*(1+E697)-1</f>
        <v>9.7879163499992039E-4</v>
      </c>
      <c r="E697" s="4">
        <v>5.7000000000000002E-3</v>
      </c>
      <c r="F697" s="4">
        <f t="shared" si="403"/>
        <v>1.3452187956833708</v>
      </c>
      <c r="G697" s="40">
        <f t="shared" si="386"/>
        <v>234.52187956833734</v>
      </c>
      <c r="H697" s="36">
        <f>(1+I695)*(1+I696)*(1+I697)-1</f>
        <v>3.3602895679998301E-3</v>
      </c>
      <c r="I697" s="4">
        <v>6.4000000000000003E-3</v>
      </c>
      <c r="J697" s="4">
        <f t="shared" si="400"/>
        <v>1.6606010779333715</v>
      </c>
      <c r="K697" s="40">
        <f t="shared" si="388"/>
        <v>266.06010779333707</v>
      </c>
      <c r="L697" s="36">
        <f>(1+M695)*(1+M696)*(1+M697)-1</f>
        <v>5.6694275000000127E-2</v>
      </c>
      <c r="M697" s="4">
        <v>3.218E-2</v>
      </c>
      <c r="N697" s="4">
        <f t="shared" si="404"/>
        <v>2.0608926286266627</v>
      </c>
      <c r="O697" s="40">
        <f t="shared" si="389"/>
        <v>306.08926286266654</v>
      </c>
    </row>
    <row r="698" spans="1:15" ht="13.5" x14ac:dyDescent="0.25">
      <c r="A698" s="2">
        <v>45046</v>
      </c>
      <c r="B698" s="49">
        <v>104028372.91</v>
      </c>
      <c r="C698" s="6">
        <v>190</v>
      </c>
      <c r="D698" s="37"/>
      <c r="E698" s="4">
        <v>1.01E-2</v>
      </c>
      <c r="F698" s="4">
        <f t="shared" ref="F698:F703" si="405">(F697+1)*(E698+1)-1</f>
        <v>1.368905505519773</v>
      </c>
      <c r="G698" s="40">
        <f t="shared" si="386"/>
        <v>236.89055055197755</v>
      </c>
      <c r="H698" s="37"/>
      <c r="I698" s="4">
        <v>1.15E-2</v>
      </c>
      <c r="J698" s="4">
        <f t="shared" si="400"/>
        <v>1.6911979903296053</v>
      </c>
      <c r="K698" s="40">
        <f t="shared" si="388"/>
        <v>269.11979903296049</v>
      </c>
      <c r="L698" s="37"/>
      <c r="M698" s="4">
        <v>1.1799999999999998E-2</v>
      </c>
      <c r="N698" s="4">
        <f t="shared" ref="N698:N703" si="406">(N697+1)*(M698+1)-1</f>
        <v>2.0970111616444576</v>
      </c>
      <c r="O698" s="40">
        <f t="shared" si="389"/>
        <v>309.70111616444603</v>
      </c>
    </row>
    <row r="699" spans="1:15" ht="13.5" x14ac:dyDescent="0.25">
      <c r="A699" s="2">
        <v>45077</v>
      </c>
      <c r="B699" s="49">
        <v>99029909.530000001</v>
      </c>
      <c r="C699" s="6">
        <v>188</v>
      </c>
      <c r="D699" s="37"/>
      <c r="E699" s="4">
        <v>-3.1E-2</v>
      </c>
      <c r="F699" s="4">
        <f t="shared" si="405"/>
        <v>1.29546943484866</v>
      </c>
      <c r="G699" s="40">
        <f t="shared" si="386"/>
        <v>229.54694348486623</v>
      </c>
      <c r="H699" s="37"/>
      <c r="I699" s="4">
        <v>-3.0800000000000001E-2</v>
      </c>
      <c r="J699" s="4">
        <f t="shared" si="400"/>
        <v>1.6083090922274534</v>
      </c>
      <c r="K699" s="40">
        <f t="shared" si="388"/>
        <v>260.83090922274528</v>
      </c>
      <c r="L699" s="37"/>
      <c r="M699" s="4">
        <v>-1.7800000000000003E-3</v>
      </c>
      <c r="N699" s="4">
        <f t="shared" si="406"/>
        <v>2.0914984817767306</v>
      </c>
      <c r="O699" s="40">
        <f t="shared" si="389"/>
        <v>309.14984817767333</v>
      </c>
    </row>
    <row r="700" spans="1:15" ht="13.5" x14ac:dyDescent="0.25">
      <c r="A700" s="2">
        <v>45107</v>
      </c>
      <c r="B700" s="49">
        <v>93813859.129999995</v>
      </c>
      <c r="C700" s="6">
        <v>177</v>
      </c>
      <c r="D700" s="36">
        <f>(1+E698)*(1+E699)*(1+E700)-1</f>
        <v>9.4229299700001601E-3</v>
      </c>
      <c r="E700" s="4">
        <v>3.1300000000000001E-2</v>
      </c>
      <c r="F700" s="4">
        <f t="shared" si="405"/>
        <v>1.367317628159423</v>
      </c>
      <c r="G700" s="40">
        <f t="shared" si="386"/>
        <v>236.73176281594257</v>
      </c>
      <c r="H700" s="36">
        <f>(1+I698)*(1+I699)*(1+I700)-1</f>
        <v>1.1814900180000087E-2</v>
      </c>
      <c r="I700" s="4">
        <v>3.2099999999999997E-2</v>
      </c>
      <c r="J700" s="4">
        <f t="shared" si="400"/>
        <v>1.6920358140879546</v>
      </c>
      <c r="K700" s="40">
        <f t="shared" si="388"/>
        <v>269.2035814087954</v>
      </c>
      <c r="L700" s="36">
        <f>(1+M698)*(1+M699)*(1+M700)-1</f>
        <v>4.8601157627119917E-2</v>
      </c>
      <c r="M700" s="4">
        <v>3.8220000000000004E-2</v>
      </c>
      <c r="N700" s="4">
        <f t="shared" si="406"/>
        <v>2.2096555537502369</v>
      </c>
      <c r="O700" s="40">
        <f t="shared" si="389"/>
        <v>320.965555375024</v>
      </c>
    </row>
    <row r="701" spans="1:15" ht="13.5" x14ac:dyDescent="0.25">
      <c r="A701" s="2">
        <v>45138</v>
      </c>
      <c r="B701" s="49">
        <v>93571874.890000001</v>
      </c>
      <c r="C701" s="6">
        <v>175</v>
      </c>
      <c r="D701" s="37"/>
      <c r="E701" s="4">
        <v>1.5800000000000002E-2</v>
      </c>
      <c r="F701" s="4">
        <f t="shared" si="405"/>
        <v>1.4047212466843422</v>
      </c>
      <c r="G701" s="40">
        <f t="shared" si="386"/>
        <v>240.47212466843447</v>
      </c>
      <c r="H701" s="37"/>
      <c r="I701" s="4">
        <v>1.72E-2</v>
      </c>
      <c r="J701" s="4">
        <f t="shared" si="400"/>
        <v>1.7383388300902678</v>
      </c>
      <c r="K701" s="40">
        <f t="shared" si="388"/>
        <v>273.83388300902669</v>
      </c>
      <c r="L701" s="37"/>
      <c r="M701" s="4">
        <v>1.8979999999999997E-2</v>
      </c>
      <c r="N701" s="4">
        <f t="shared" si="406"/>
        <v>2.2705748161604165</v>
      </c>
      <c r="O701" s="40">
        <f t="shared" si="389"/>
        <v>327.05748161604197</v>
      </c>
    </row>
    <row r="702" spans="1:15" ht="13.5" x14ac:dyDescent="0.25">
      <c r="A702" s="2">
        <v>45169</v>
      </c>
      <c r="B702" s="49">
        <v>90612157.049999997</v>
      </c>
      <c r="C702" s="6">
        <v>173</v>
      </c>
      <c r="D702" s="37"/>
      <c r="E702" s="4">
        <v>-1.17E-2</v>
      </c>
      <c r="F702" s="4">
        <f t="shared" si="405"/>
        <v>1.3765860080981351</v>
      </c>
      <c r="G702" s="40">
        <f t="shared" si="386"/>
        <v>237.65860080981378</v>
      </c>
      <c r="H702" s="37"/>
      <c r="I702" s="4">
        <v>-1.15E-2</v>
      </c>
      <c r="J702" s="4">
        <f t="shared" si="400"/>
        <v>1.7068479335442297</v>
      </c>
      <c r="K702" s="40">
        <f t="shared" si="388"/>
        <v>270.68479335442288</v>
      </c>
      <c r="L702" s="37"/>
      <c r="M702" s="4">
        <v>-1.21E-2</v>
      </c>
      <c r="N702" s="4">
        <f t="shared" si="406"/>
        <v>2.2310008608848753</v>
      </c>
      <c r="O702" s="40">
        <f t="shared" si="389"/>
        <v>323.10008608848784</v>
      </c>
    </row>
    <row r="703" spans="1:15" ht="13.5" x14ac:dyDescent="0.25">
      <c r="A703" s="2">
        <v>45199</v>
      </c>
      <c r="B703" s="49">
        <v>89737961.390000001</v>
      </c>
      <c r="C703" s="6">
        <v>172</v>
      </c>
      <c r="D703" s="36">
        <f>(1+E701)*(1+E702)*(1+E703)-1</f>
        <v>-2.0781172444000018E-2</v>
      </c>
      <c r="E703" s="4">
        <v>-2.46E-2</v>
      </c>
      <c r="F703" s="4">
        <f t="shared" si="405"/>
        <v>1.3181219922989209</v>
      </c>
      <c r="G703" s="40">
        <f t="shared" si="386"/>
        <v>231.81219922989237</v>
      </c>
      <c r="H703" s="36">
        <f>(1+I701)*(1+I702)*(1+I703)-1</f>
        <v>-1.8428752359999856E-2</v>
      </c>
      <c r="I703" s="4">
        <v>-2.3800000000000002E-2</v>
      </c>
      <c r="J703" s="4">
        <f t="shared" si="400"/>
        <v>1.642424952725877</v>
      </c>
      <c r="K703" s="40">
        <f t="shared" si="388"/>
        <v>264.24249527258758</v>
      </c>
      <c r="L703" s="36">
        <f>(1+M701)*(1+M702)*(1+M703)-1</f>
        <v>-3.2387558262760074E-2</v>
      </c>
      <c r="M703" s="4">
        <v>-3.8780000000000002E-2</v>
      </c>
      <c r="N703" s="4">
        <f t="shared" si="406"/>
        <v>2.1057026474997595</v>
      </c>
      <c r="O703" s="40">
        <f t="shared" si="389"/>
        <v>310.57026474997627</v>
      </c>
    </row>
    <row r="704" spans="1:15" ht="13.5" x14ac:dyDescent="0.25">
      <c r="A704" s="2">
        <v>45230</v>
      </c>
      <c r="B704" s="49">
        <v>87154706.219999999</v>
      </c>
      <c r="C704" s="6">
        <v>171</v>
      </c>
      <c r="D704" s="37"/>
      <c r="E704" s="4">
        <v>-1.3899999999999999E-2</v>
      </c>
      <c r="F704" s="4">
        <f t="shared" ref="F704:F709" si="407">(F703+1)*(E704+1)-1</f>
        <v>1.2859000966059657</v>
      </c>
      <c r="G704" s="40">
        <f t="shared" si="386"/>
        <v>228.59000966059685</v>
      </c>
      <c r="H704" s="37"/>
      <c r="I704" s="4">
        <v>-1.2500000000000001E-2</v>
      </c>
      <c r="J704" s="4">
        <f t="shared" si="400"/>
        <v>1.6093946408168036</v>
      </c>
      <c r="K704" s="40">
        <f t="shared" si="388"/>
        <v>260.93946408168023</v>
      </c>
      <c r="L704" s="37"/>
      <c r="M704" s="4">
        <v>-1.8919999999999999E-2</v>
      </c>
      <c r="N704" s="4">
        <f t="shared" ref="N704:N709" si="408">(N703+1)*(M704+1)-1</f>
        <v>2.0469427534090641</v>
      </c>
      <c r="O704" s="40">
        <f t="shared" si="389"/>
        <v>304.6942753409067</v>
      </c>
    </row>
    <row r="705" spans="1:15" ht="13.5" x14ac:dyDescent="0.25">
      <c r="A705" s="2">
        <v>45260</v>
      </c>
      <c r="B705" s="49">
        <v>90030593.019999996</v>
      </c>
      <c r="C705" s="6">
        <v>170</v>
      </c>
      <c r="D705" s="37"/>
      <c r="E705" s="4">
        <v>3.8300000000000001E-2</v>
      </c>
      <c r="F705" s="4">
        <f t="shared" si="407"/>
        <v>1.373450070305974</v>
      </c>
      <c r="G705" s="40">
        <f t="shared" si="386"/>
        <v>237.34500703059771</v>
      </c>
      <c r="H705" s="37"/>
      <c r="I705" s="4">
        <v>3.85E-2</v>
      </c>
      <c r="J705" s="4">
        <f t="shared" si="400"/>
        <v>1.7098563344882507</v>
      </c>
      <c r="K705" s="40">
        <f t="shared" si="388"/>
        <v>270.9856334488249</v>
      </c>
      <c r="L705" s="37"/>
      <c r="M705" s="4">
        <v>7.2900000000000006E-2</v>
      </c>
      <c r="N705" s="4">
        <f t="shared" si="408"/>
        <v>2.2690648801325848</v>
      </c>
      <c r="O705" s="40">
        <f t="shared" si="389"/>
        <v>326.90648801325881</v>
      </c>
    </row>
    <row r="706" spans="1:15" ht="13.5" x14ac:dyDescent="0.25">
      <c r="A706" s="2">
        <v>45291</v>
      </c>
      <c r="B706" s="49">
        <v>93526587.829999998</v>
      </c>
      <c r="C706" s="6">
        <v>176</v>
      </c>
      <c r="D706" s="36">
        <f>(1+E704)*(1+E705)*(1+E706)-1</f>
        <v>5.4174111848000139E-2</v>
      </c>
      <c r="E706" s="4">
        <v>2.9600000000000001E-2</v>
      </c>
      <c r="F706" s="4">
        <f t="shared" si="407"/>
        <v>1.4437041923870311</v>
      </c>
      <c r="G706" s="40">
        <f t="shared" si="386"/>
        <v>244.37041923870342</v>
      </c>
      <c r="H706" s="36">
        <f>(1+I704)*(1+I705)*(1+I706)-1</f>
        <v>5.62843125000001E-2</v>
      </c>
      <c r="I706" s="4">
        <v>0.03</v>
      </c>
      <c r="J706" s="4">
        <f t="shared" si="400"/>
        <v>1.7911520245228982</v>
      </c>
      <c r="K706" s="40">
        <f t="shared" si="388"/>
        <v>279.11520245228968</v>
      </c>
      <c r="L706" s="36">
        <f>(1+M704)*(1+M705)*(1+M706)-1</f>
        <v>9.7399419153919808E-2</v>
      </c>
      <c r="M706" s="4">
        <v>4.2560000000000001E-2</v>
      </c>
      <c r="N706" s="4">
        <f t="shared" si="408"/>
        <v>2.4081962814310272</v>
      </c>
      <c r="O706" s="40">
        <f t="shared" si="389"/>
        <v>340.8196281431031</v>
      </c>
    </row>
    <row r="707" spans="1:15" ht="13.5" x14ac:dyDescent="0.25">
      <c r="A707" s="2">
        <v>45322</v>
      </c>
      <c r="B707" s="49">
        <v>94323109.010000005</v>
      </c>
      <c r="C707" s="6">
        <v>177</v>
      </c>
      <c r="D707" s="37"/>
      <c r="E707" s="4">
        <v>4.1999999999999997E-3</v>
      </c>
      <c r="F707" s="4">
        <f t="shared" si="407"/>
        <v>1.4539677499950567</v>
      </c>
      <c r="G707" s="40">
        <f t="shared" si="386"/>
        <v>245.39677499950596</v>
      </c>
      <c r="H707" s="37"/>
      <c r="I707" s="4">
        <v>6.4000000000000003E-3</v>
      </c>
      <c r="J707" s="4">
        <f t="shared" si="400"/>
        <v>1.8090153974798446</v>
      </c>
      <c r="K707" s="40">
        <f t="shared" si="388"/>
        <v>280.90153974798432</v>
      </c>
      <c r="L707" s="37"/>
      <c r="M707" s="4">
        <v>8.9999999999999993E-3</v>
      </c>
      <c r="N707" s="4">
        <f t="shared" si="408"/>
        <v>2.4388700479639058</v>
      </c>
      <c r="O707" s="40">
        <f t="shared" si="389"/>
        <v>343.88700479639101</v>
      </c>
    </row>
    <row r="708" spans="1:15" ht="13.5" x14ac:dyDescent="0.25">
      <c r="A708" s="2">
        <v>45351</v>
      </c>
      <c r="B708" s="49">
        <v>93227104.150000006</v>
      </c>
      <c r="C708" s="6">
        <v>175</v>
      </c>
      <c r="D708" s="37"/>
      <c r="E708" s="4">
        <v>6.7000000000000002E-3</v>
      </c>
      <c r="F708" s="4">
        <f t="shared" si="407"/>
        <v>1.4704093339200233</v>
      </c>
      <c r="G708" s="40">
        <f t="shared" si="386"/>
        <v>247.04093339200264</v>
      </c>
      <c r="H708" s="37"/>
      <c r="I708" s="4">
        <v>6.7000000000000002E-3</v>
      </c>
      <c r="J708" s="4">
        <f t="shared" si="400"/>
        <v>1.8278358006429594</v>
      </c>
      <c r="K708" s="40">
        <f t="shared" si="388"/>
        <v>282.78358006429579</v>
      </c>
      <c r="L708" s="37"/>
      <c r="M708" s="4">
        <v>2.64E-2</v>
      </c>
      <c r="N708" s="4">
        <f t="shared" si="408"/>
        <v>2.5296562172301527</v>
      </c>
      <c r="O708" s="40">
        <f t="shared" si="389"/>
        <v>352.96562172301572</v>
      </c>
    </row>
    <row r="709" spans="1:15" ht="13.5" x14ac:dyDescent="0.25">
      <c r="A709" s="2">
        <v>45382</v>
      </c>
      <c r="B709" s="49">
        <v>91788044.469999999</v>
      </c>
      <c r="C709" s="6">
        <v>172</v>
      </c>
      <c r="D709" s="36">
        <f>(1+E707)*(1+E708)*(1+E709)-1</f>
        <v>3.721227163999985E-2</v>
      </c>
      <c r="E709" s="4">
        <v>2.5999999999999999E-2</v>
      </c>
      <c r="F709" s="4">
        <f t="shared" si="407"/>
        <v>1.5346399766019441</v>
      </c>
      <c r="G709" s="40">
        <f t="shared" ref="G709:G727" si="409">G708*(1+E709)</f>
        <v>253.46399766019471</v>
      </c>
      <c r="H709" s="36">
        <f>(1+I707)*(1+I708)*(1+I709)-1</f>
        <v>3.9585909167999977E-2</v>
      </c>
      <c r="I709" s="4">
        <v>2.6100000000000002E-2</v>
      </c>
      <c r="J709" s="4">
        <f t="shared" ref="J709:J727" si="410">(J708+1)*(I709+1)-1</f>
        <v>1.9016423150397408</v>
      </c>
      <c r="K709" s="40">
        <f t="shared" ref="K709:K727" si="411">K708*(1+I709)</f>
        <v>290.16423150397389</v>
      </c>
      <c r="L709" s="36">
        <f>(1+M707)*(1+M708)*(1+M709)-1</f>
        <v>5.9457264799999798E-2</v>
      </c>
      <c r="M709" s="4">
        <v>2.3E-2</v>
      </c>
      <c r="N709" s="4">
        <f t="shared" si="408"/>
        <v>2.6108383102264456</v>
      </c>
      <c r="O709" s="40">
        <f t="shared" ref="O709:O727" si="412">O708*(1+M709)</f>
        <v>361.08383102264503</v>
      </c>
    </row>
    <row r="710" spans="1:15" ht="13.5" x14ac:dyDescent="0.25">
      <c r="A710" s="2">
        <v>45412</v>
      </c>
      <c r="B710" s="49">
        <v>89526165.439999998</v>
      </c>
      <c r="C710" s="6">
        <v>174</v>
      </c>
      <c r="D710" s="37"/>
      <c r="E710" s="4">
        <v>-2.41E-2</v>
      </c>
      <c r="F710" s="4">
        <f t="shared" ref="F710:F715" si="413">(F709+1)*(E710+1)-1</f>
        <v>1.4735551531658371</v>
      </c>
      <c r="G710" s="40">
        <f t="shared" si="409"/>
        <v>247.35551531658402</v>
      </c>
      <c r="H710" s="37"/>
      <c r="I710" s="4">
        <v>-2.1999999999999999E-2</v>
      </c>
      <c r="J710" s="4">
        <f t="shared" si="410"/>
        <v>1.8378061841088664</v>
      </c>
      <c r="K710" s="40">
        <f t="shared" si="411"/>
        <v>283.78061841088646</v>
      </c>
      <c r="L710" s="37"/>
      <c r="M710" s="4">
        <v>-3.4600000000000006E-2</v>
      </c>
      <c r="N710" s="4">
        <f t="shared" ref="N710:N715" si="414">(N709+1)*(M710+1)-1</f>
        <v>2.4859033046926107</v>
      </c>
      <c r="O710" s="40">
        <f t="shared" si="412"/>
        <v>348.59033046926152</v>
      </c>
    </row>
    <row r="711" spans="1:15" ht="13.5" x14ac:dyDescent="0.25">
      <c r="A711" s="2">
        <v>45443</v>
      </c>
      <c r="B711" s="49">
        <v>90689668.200000003</v>
      </c>
      <c r="C711" s="6">
        <v>174</v>
      </c>
      <c r="D711" s="37"/>
      <c r="E711" s="4">
        <v>1.49E-2</v>
      </c>
      <c r="F711" s="4">
        <f t="shared" si="413"/>
        <v>1.5104111249480079</v>
      </c>
      <c r="G711" s="40">
        <f t="shared" si="409"/>
        <v>251.0411124948011</v>
      </c>
      <c r="H711" s="37"/>
      <c r="I711" s="4">
        <v>1.4999999999999999E-2</v>
      </c>
      <c r="J711" s="4">
        <f t="shared" si="410"/>
        <v>1.880373276870499</v>
      </c>
      <c r="K711" s="40">
        <f t="shared" si="411"/>
        <v>288.03732768704975</v>
      </c>
      <c r="L711" s="37"/>
      <c r="M711" s="4">
        <v>3.6559999999999995E-2</v>
      </c>
      <c r="N711" s="4">
        <f t="shared" si="414"/>
        <v>2.6133479295121722</v>
      </c>
      <c r="O711" s="40">
        <f t="shared" si="412"/>
        <v>361.33479295121771</v>
      </c>
    </row>
    <row r="712" spans="1:15" ht="13.5" x14ac:dyDescent="0.25">
      <c r="A712" s="2">
        <v>45473</v>
      </c>
      <c r="B712" s="49">
        <v>90426118.400000006</v>
      </c>
      <c r="C712" s="6">
        <v>173</v>
      </c>
      <c r="D712" s="36">
        <f>(1+E710)*(1+E711)*(1+E712)-1</f>
        <v>-1.0648575001000138E-2</v>
      </c>
      <c r="E712" s="4">
        <v>-1.1000000000000001E-3</v>
      </c>
      <c r="F712" s="4">
        <f t="shared" si="413"/>
        <v>1.5076496727105653</v>
      </c>
      <c r="G712" s="40">
        <f t="shared" si="409"/>
        <v>250.76496727105683</v>
      </c>
      <c r="H712" s="36">
        <f>(1+I710)*(1+I711)*(1+I712)-1</f>
        <v>-8.223403000000129E-3</v>
      </c>
      <c r="I712" s="4">
        <v>-8.9999999999999998E-4</v>
      </c>
      <c r="J712" s="4">
        <f t="shared" si="410"/>
        <v>1.8777809409213155</v>
      </c>
      <c r="K712" s="40">
        <f t="shared" si="411"/>
        <v>287.77809409213143</v>
      </c>
      <c r="L712" s="36">
        <f>(1+M710)*(1+M711)*(1+M712)-1</f>
        <v>2.6052635908159871E-2</v>
      </c>
      <c r="M712" s="4">
        <v>2.5340000000000001E-2</v>
      </c>
      <c r="N712" s="4">
        <f t="shared" si="414"/>
        <v>2.7049101660460102</v>
      </c>
      <c r="O712" s="40">
        <f t="shared" si="412"/>
        <v>370.49101660460155</v>
      </c>
    </row>
    <row r="713" spans="1:15" ht="13.5" x14ac:dyDescent="0.25">
      <c r="A713" s="2">
        <v>45504</v>
      </c>
      <c r="B713" s="49">
        <v>93149985.519999996</v>
      </c>
      <c r="C713" s="6">
        <v>173</v>
      </c>
      <c r="D713" s="37"/>
      <c r="E713" s="4">
        <v>3.2500000000000001E-2</v>
      </c>
      <c r="F713" s="4">
        <f t="shared" si="413"/>
        <v>1.5891482870736584</v>
      </c>
      <c r="G713" s="40">
        <f t="shared" si="409"/>
        <v>258.91482870736615</v>
      </c>
      <c r="H713" s="37"/>
      <c r="I713" s="4">
        <v>3.4700000000000002E-2</v>
      </c>
      <c r="J713" s="4">
        <f t="shared" si="410"/>
        <v>1.9776399395712851</v>
      </c>
      <c r="K713" s="40">
        <f t="shared" si="411"/>
        <v>297.76399395712838</v>
      </c>
      <c r="L713" s="37"/>
      <c r="M713" s="4">
        <v>1.668E-2</v>
      </c>
      <c r="N713" s="4">
        <f t="shared" si="414"/>
        <v>2.7667080676156579</v>
      </c>
      <c r="O713" s="40">
        <f t="shared" si="412"/>
        <v>376.67080676156633</v>
      </c>
    </row>
    <row r="714" spans="1:15" ht="13.5" x14ac:dyDescent="0.25">
      <c r="A714" s="2">
        <v>45535</v>
      </c>
      <c r="B714" s="49">
        <v>94817191.359999999</v>
      </c>
      <c r="C714" s="6">
        <v>175</v>
      </c>
      <c r="D714" s="37"/>
      <c r="E714" s="4">
        <v>1.4200000000000001E-2</v>
      </c>
      <c r="F714" s="4">
        <f t="shared" si="413"/>
        <v>1.6259141927501042</v>
      </c>
      <c r="G714" s="40">
        <f t="shared" si="409"/>
        <v>262.59141927501076</v>
      </c>
      <c r="H714" s="37"/>
      <c r="I714" s="4">
        <v>1.4200000000000001E-2</v>
      </c>
      <c r="J714" s="4">
        <f t="shared" si="410"/>
        <v>2.0199224267131974</v>
      </c>
      <c r="K714" s="40">
        <f t="shared" si="411"/>
        <v>301.99224267131962</v>
      </c>
      <c r="L714" s="37"/>
      <c r="M714" s="4">
        <v>2.034E-2</v>
      </c>
      <c r="N714" s="4">
        <f t="shared" si="414"/>
        <v>2.8433229097109605</v>
      </c>
      <c r="O714" s="40">
        <f t="shared" si="412"/>
        <v>384.3322909710966</v>
      </c>
    </row>
    <row r="715" spans="1:15" ht="13.5" x14ac:dyDescent="0.25">
      <c r="A715" s="2">
        <v>45565</v>
      </c>
      <c r="B715" s="49">
        <v>95582448.560000002</v>
      </c>
      <c r="C715" s="6">
        <v>175</v>
      </c>
      <c r="D715" s="36">
        <f>(1+E713)*(1+E714)*(1+E715)-1</f>
        <v>6.0565167199999825E-2</v>
      </c>
      <c r="E715" s="4">
        <v>1.2800000000000001E-2</v>
      </c>
      <c r="F715" s="4">
        <f t="shared" si="413"/>
        <v>1.6595258944173055</v>
      </c>
      <c r="G715" s="40">
        <f t="shared" si="409"/>
        <v>265.95258944173088</v>
      </c>
      <c r="H715" s="36">
        <f>(1+I713)*(1+I714)*(1+I715)-1</f>
        <v>6.2929906346000042E-2</v>
      </c>
      <c r="I715" s="4">
        <v>1.29E-2</v>
      </c>
      <c r="J715" s="4">
        <f t="shared" si="410"/>
        <v>2.0588794260177976</v>
      </c>
      <c r="K715" s="40">
        <f t="shared" si="411"/>
        <v>305.88794260177963</v>
      </c>
      <c r="L715" s="36">
        <f>(1+M713)*(1+M714)*(1+M715)-1</f>
        <v>5.6239209935840195E-2</v>
      </c>
      <c r="M715" s="4">
        <v>1.8200000000000001E-2</v>
      </c>
      <c r="N715" s="4">
        <f t="shared" si="414"/>
        <v>2.9132713866677</v>
      </c>
      <c r="O715" s="40">
        <f t="shared" si="412"/>
        <v>391.32713866677057</v>
      </c>
    </row>
    <row r="716" spans="1:15" ht="13.5" x14ac:dyDescent="0.25">
      <c r="A716" s="2">
        <v>45596</v>
      </c>
      <c r="B716" s="49">
        <v>93611886.120000005</v>
      </c>
      <c r="C716" s="6">
        <v>172</v>
      </c>
      <c r="D716" s="37"/>
      <c r="E716" s="4">
        <v>-1.2200000000000001E-2</v>
      </c>
      <c r="F716" s="4">
        <f t="shared" ref="F716:F721" si="415">(F715+1)*(E716+1)-1</f>
        <v>1.6270796785054142</v>
      </c>
      <c r="G716" s="40">
        <f t="shared" si="409"/>
        <v>262.70796785054176</v>
      </c>
      <c r="H716" s="37"/>
      <c r="I716" s="4">
        <v>-1.01E-2</v>
      </c>
      <c r="J716" s="4">
        <f t="shared" si="410"/>
        <v>2.027984743815018</v>
      </c>
      <c r="K716" s="40">
        <f t="shared" si="411"/>
        <v>302.79847438150165</v>
      </c>
      <c r="L716" s="37"/>
      <c r="M716" s="4">
        <v>-1.5380000000000001E-2</v>
      </c>
      <c r="N716" s="4">
        <f t="shared" ref="N716:N721" si="416">(N715+1)*(M716+1)-1</f>
        <v>2.853085272740751</v>
      </c>
      <c r="O716" s="40">
        <f t="shared" si="412"/>
        <v>385.30852727407563</v>
      </c>
    </row>
    <row r="717" spans="1:15" ht="13.5" x14ac:dyDescent="0.25">
      <c r="A717" s="2">
        <v>45626</v>
      </c>
      <c r="B717" s="49">
        <v>94134189.560000002</v>
      </c>
      <c r="C717" s="6">
        <v>169</v>
      </c>
      <c r="D717" s="37"/>
      <c r="E717" s="4">
        <v>2.06E-2</v>
      </c>
      <c r="F717" s="4">
        <f t="shared" si="415"/>
        <v>1.6811975198826254</v>
      </c>
      <c r="G717" s="40">
        <f t="shared" si="409"/>
        <v>268.11975198826292</v>
      </c>
      <c r="H717" s="37"/>
      <c r="I717" s="4">
        <v>2.07E-2</v>
      </c>
      <c r="J717" s="4">
        <f t="shared" si="410"/>
        <v>2.0906640280119886</v>
      </c>
      <c r="K717" s="40">
        <f t="shared" si="411"/>
        <v>309.06640280119871</v>
      </c>
      <c r="L717" s="37"/>
      <c r="M717" s="4">
        <v>3.9460000000000002E-2</v>
      </c>
      <c r="N717" s="4">
        <f t="shared" si="416"/>
        <v>3.0051280176031012</v>
      </c>
      <c r="O717" s="40">
        <f t="shared" si="412"/>
        <v>400.51280176031065</v>
      </c>
    </row>
    <row r="718" spans="1:15" ht="13.5" x14ac:dyDescent="0.25">
      <c r="A718" s="2">
        <v>45657</v>
      </c>
      <c r="B718" s="49">
        <v>90085752.549999997</v>
      </c>
      <c r="C718" s="6">
        <v>169</v>
      </c>
      <c r="D718" s="36">
        <f>(1+E716)*(1+E717)*(1+E718)-1</f>
        <v>-2.9556080632000103E-2</v>
      </c>
      <c r="E718" s="4">
        <v>-3.7400000000000003E-2</v>
      </c>
      <c r="F718" s="4">
        <f t="shared" si="415"/>
        <v>1.5809207326390151</v>
      </c>
      <c r="G718" s="40">
        <f t="shared" si="409"/>
        <v>258.09207326390191</v>
      </c>
      <c r="H718" s="36">
        <f>(1+I716)*(1+I717)*(1+I718)-1</f>
        <v>-2.7296651688999973E-2</v>
      </c>
      <c r="I718" s="4">
        <v>-3.73E-2</v>
      </c>
      <c r="J718" s="4">
        <f t="shared" si="410"/>
        <v>1.9753822597671413</v>
      </c>
      <c r="K718" s="40">
        <f t="shared" si="411"/>
        <v>297.53822597671399</v>
      </c>
      <c r="L718" s="36">
        <f>(1+M716)*(1+M717)*(1+M718)-1</f>
        <v>2.1439256876321089E-3</v>
      </c>
      <c r="M718" s="4">
        <v>-2.0840000000000001E-2</v>
      </c>
      <c r="N718" s="4">
        <f t="shared" si="416"/>
        <v>2.9216611497162526</v>
      </c>
      <c r="O718" s="40">
        <f t="shared" si="412"/>
        <v>392.1661149716258</v>
      </c>
    </row>
    <row r="719" spans="1:15" ht="13.5" x14ac:dyDescent="0.25">
      <c r="A719" s="2">
        <v>45688</v>
      </c>
      <c r="B719" s="49">
        <v>90664490.659999996</v>
      </c>
      <c r="C719" s="6">
        <v>169</v>
      </c>
      <c r="D719" s="37"/>
      <c r="E719" s="4">
        <v>1.3599999999999999E-2</v>
      </c>
      <c r="F719" s="4">
        <f t="shared" si="415"/>
        <v>1.6160212546029058</v>
      </c>
      <c r="G719" s="40">
        <f t="shared" si="409"/>
        <v>261.60212546029101</v>
      </c>
      <c r="H719" s="37"/>
      <c r="I719" s="4">
        <v>1.5699999999999999E-2</v>
      </c>
      <c r="J719" s="4">
        <f t="shared" si="410"/>
        <v>2.0220957612454855</v>
      </c>
      <c r="K719" s="40">
        <f t="shared" si="411"/>
        <v>302.20957612454839</v>
      </c>
      <c r="L719" s="37"/>
      <c r="M719" s="4">
        <v>1.8799999999999997E-2</v>
      </c>
      <c r="N719" s="4">
        <f t="shared" si="416"/>
        <v>2.9953883793309179</v>
      </c>
      <c r="O719" s="40">
        <f t="shared" si="412"/>
        <v>399.53883793309234</v>
      </c>
    </row>
    <row r="720" spans="1:15" ht="13.5" x14ac:dyDescent="0.25">
      <c r="A720" s="2">
        <v>45716</v>
      </c>
      <c r="B720" s="49">
        <v>90921288.170000002</v>
      </c>
      <c r="C720" s="6">
        <v>169</v>
      </c>
      <c r="D720" s="37"/>
      <c r="E720" s="4">
        <v>9.9000000000000008E-3</v>
      </c>
      <c r="F720" s="4">
        <f t="shared" si="415"/>
        <v>1.6419198650234748</v>
      </c>
      <c r="G720" s="40">
        <f t="shared" si="409"/>
        <v>264.1919865023479</v>
      </c>
      <c r="H720" s="37"/>
      <c r="I720" s="4">
        <v>9.9000000000000008E-3</v>
      </c>
      <c r="J720" s="4">
        <f t="shared" si="410"/>
        <v>2.0520145092818161</v>
      </c>
      <c r="K720" s="40">
        <f t="shared" si="411"/>
        <v>305.20145092818143</v>
      </c>
      <c r="L720" s="37"/>
      <c r="M720" s="4">
        <v>1.0000000000000009E-3</v>
      </c>
      <c r="N720" s="4">
        <f t="shared" si="416"/>
        <v>2.9993837677102486</v>
      </c>
      <c r="O720" s="40">
        <f t="shared" si="412"/>
        <v>399.93837677102539</v>
      </c>
    </row>
    <row r="721" spans="1:15" ht="13.5" x14ac:dyDescent="0.25">
      <c r="A721" s="2">
        <v>45747</v>
      </c>
      <c r="B721" s="49">
        <v>89738158.579999998</v>
      </c>
      <c r="C721" s="6">
        <v>169</v>
      </c>
      <c r="D721" s="36">
        <f>(1+E719)*(1+E720)*(1+E721)-1</f>
        <v>1.0327389680000021E-2</v>
      </c>
      <c r="E721" s="4">
        <v>-1.2999999999999999E-2</v>
      </c>
      <c r="F721" s="4">
        <f t="shared" si="415"/>
        <v>1.6075749067781695</v>
      </c>
      <c r="G721" s="40">
        <f t="shared" si="409"/>
        <v>260.75749067781737</v>
      </c>
      <c r="H721" s="36">
        <f>(1+I719)*(1+I720)*(1+I721)-1</f>
        <v>1.2523184953000088E-2</v>
      </c>
      <c r="I721" s="4">
        <v>-1.29E-2</v>
      </c>
      <c r="J721" s="4">
        <f t="shared" si="410"/>
        <v>2.0126435221120804</v>
      </c>
      <c r="K721" s="40">
        <f t="shared" si="411"/>
        <v>301.26435221120789</v>
      </c>
      <c r="L721" s="36">
        <f>(1+M719)*(1+M720)*(1+M721)-1</f>
        <v>-1.4467508056000056E-2</v>
      </c>
      <c r="M721" s="4">
        <v>-3.3619999999999997E-2</v>
      </c>
      <c r="N721" s="4">
        <f t="shared" si="416"/>
        <v>2.8649244854398299</v>
      </c>
      <c r="O721" s="40">
        <f t="shared" si="412"/>
        <v>386.49244854398353</v>
      </c>
    </row>
    <row r="722" spans="1:15" ht="13.5" x14ac:dyDescent="0.25">
      <c r="A722" s="2">
        <v>45777</v>
      </c>
      <c r="B722" s="49">
        <v>86522420.219999999</v>
      </c>
      <c r="C722" s="6">
        <v>169</v>
      </c>
      <c r="D722" s="37"/>
      <c r="E722" s="4">
        <v>-3.1600000000000003E-2</v>
      </c>
      <c r="F722" s="4">
        <f t="shared" ref="F722:F727" si="417">(F721+1)*(E722+1)-1</f>
        <v>1.5251755397239792</v>
      </c>
      <c r="G722" s="40">
        <f t="shared" si="409"/>
        <v>252.51755397239836</v>
      </c>
      <c r="H722" s="37"/>
      <c r="I722" s="4">
        <v>-2.9499999999999998E-2</v>
      </c>
      <c r="J722" s="4">
        <f t="shared" si="410"/>
        <v>1.9237705382097743</v>
      </c>
      <c r="K722" s="40">
        <f t="shared" si="411"/>
        <v>292.37705382097727</v>
      </c>
      <c r="L722" s="37"/>
      <c r="M722" s="4">
        <v>-2.5199999999999997E-3</v>
      </c>
      <c r="N722" s="4">
        <f t="shared" ref="N722:N727" si="418">(N721+1)*(M722+1)-1</f>
        <v>2.8551848757365215</v>
      </c>
      <c r="O722" s="40">
        <f t="shared" si="412"/>
        <v>385.51848757365269</v>
      </c>
    </row>
    <row r="723" spans="1:15" ht="13.5" x14ac:dyDescent="0.25">
      <c r="A723" s="2">
        <v>45808</v>
      </c>
      <c r="B723" s="49">
        <v>88081199.689999998</v>
      </c>
      <c r="C723" s="6">
        <v>170</v>
      </c>
      <c r="D723" s="37"/>
      <c r="E723" s="4">
        <v>1.9300000000000001E-2</v>
      </c>
      <c r="F723" s="4">
        <f t="shared" si="417"/>
        <v>1.5739114276406521</v>
      </c>
      <c r="G723" s="40">
        <f t="shared" si="409"/>
        <v>257.39114276406565</v>
      </c>
      <c r="H723" s="37"/>
      <c r="I723" s="4">
        <v>1.9300000000000001E-2</v>
      </c>
      <c r="J723" s="4">
        <f t="shared" si="410"/>
        <v>1.9801993095972232</v>
      </c>
      <c r="K723" s="40">
        <f t="shared" si="411"/>
        <v>298.01993095972216</v>
      </c>
      <c r="L723" s="37"/>
      <c r="M723" s="4">
        <v>3.4859999999999995E-2</v>
      </c>
      <c r="N723" s="4">
        <f t="shared" si="418"/>
        <v>2.9895766205046961</v>
      </c>
      <c r="O723" s="40">
        <f t="shared" si="412"/>
        <v>398.95766205047016</v>
      </c>
    </row>
    <row r="724" spans="1:15" ht="13.5" x14ac:dyDescent="0.25">
      <c r="A724" s="2">
        <v>45838</v>
      </c>
      <c r="B724" s="49">
        <v>90163253.510000005</v>
      </c>
      <c r="C724" s="6">
        <v>170</v>
      </c>
      <c r="D724" s="36">
        <f>(1+E722)*(1+E723)*(1+E724)-1</f>
        <v>4.4629061120002866E-3</v>
      </c>
      <c r="E724" s="4">
        <v>1.7600000000000001E-2</v>
      </c>
      <c r="F724" s="4">
        <f t="shared" si="417"/>
        <v>1.6192122687671278</v>
      </c>
      <c r="G724" s="40">
        <f t="shared" si="409"/>
        <v>261.92122687671321</v>
      </c>
      <c r="H724" s="36">
        <f>(1+I722)*(1+I723)*(1+I724)-1</f>
        <v>6.8389555700001381E-3</v>
      </c>
      <c r="I724" s="4">
        <v>1.78E-2</v>
      </c>
      <c r="J724" s="4">
        <f t="shared" si="410"/>
        <v>2.033246857308054</v>
      </c>
      <c r="K724" s="40">
        <f t="shared" si="411"/>
        <v>303.32468573080524</v>
      </c>
      <c r="L724" s="36">
        <f>(1+M722)*(1+M723)*(1+M724)-1</f>
        <v>7.0135806807759993E-2</v>
      </c>
      <c r="M724" s="4">
        <v>3.6699999999999997E-2</v>
      </c>
      <c r="N724" s="4">
        <f t="shared" si="418"/>
        <v>3.1359940824772181</v>
      </c>
      <c r="O724" s="40">
        <f t="shared" si="412"/>
        <v>413.59940824772241</v>
      </c>
    </row>
    <row r="725" spans="1:15" ht="13.5" x14ac:dyDescent="0.25">
      <c r="A725" s="2">
        <v>45869</v>
      </c>
      <c r="B725" s="49">
        <v>85916477.599999994</v>
      </c>
      <c r="C725" s="6">
        <v>164</v>
      </c>
      <c r="D725" s="37"/>
      <c r="E725" s="4">
        <v>-8.8000000000000005E-3</v>
      </c>
      <c r="F725" s="4">
        <f t="shared" si="417"/>
        <v>1.596163200801977</v>
      </c>
      <c r="G725" s="40">
        <f t="shared" si="409"/>
        <v>259.61632008019814</v>
      </c>
      <c r="H725" s="37"/>
      <c r="I725" s="4">
        <v>-6.7999999999999996E-3</v>
      </c>
      <c r="J725" s="4">
        <f t="shared" si="410"/>
        <v>2.0126207786783592</v>
      </c>
      <c r="K725" s="40">
        <f t="shared" si="411"/>
        <v>301.26207786783579</v>
      </c>
      <c r="L725" s="37"/>
      <c r="M725" s="4">
        <v>1.24E-2</v>
      </c>
      <c r="N725" s="4">
        <f t="shared" si="418"/>
        <v>3.1872804090999356</v>
      </c>
      <c r="O725" s="40">
        <f t="shared" si="412"/>
        <v>418.72804090999415</v>
      </c>
    </row>
    <row r="726" spans="1:15" ht="13.5" x14ac:dyDescent="0.25">
      <c r="A726" s="2">
        <v>45900</v>
      </c>
      <c r="B726" s="49">
        <v>88181933.319999993</v>
      </c>
      <c r="C726" s="6">
        <v>164</v>
      </c>
      <c r="D726" s="37"/>
      <c r="E726" s="4">
        <v>2.5600000000000001E-2</v>
      </c>
      <c r="F726" s="4">
        <f t="shared" si="417"/>
        <v>1.662624978742508</v>
      </c>
      <c r="G726" s="40">
        <f t="shared" si="409"/>
        <v>266.26249787425121</v>
      </c>
      <c r="H726" s="37"/>
      <c r="I726" s="4">
        <v>2.5600000000000001E-2</v>
      </c>
      <c r="J726" s="4">
        <f t="shared" si="410"/>
        <v>2.0897438706125255</v>
      </c>
      <c r="K726" s="40">
        <f t="shared" si="411"/>
        <v>308.9743870612524</v>
      </c>
      <c r="L726" s="37"/>
      <c r="M726" s="4">
        <v>1.6979999999999999E-2</v>
      </c>
      <c r="N726" s="4">
        <f t="shared" si="418"/>
        <v>3.2583804304464525</v>
      </c>
      <c r="O726" s="40">
        <f t="shared" si="412"/>
        <v>425.83804304464587</v>
      </c>
    </row>
    <row r="727" spans="1:15" ht="13.5" x14ac:dyDescent="0.25">
      <c r="A727" s="2">
        <v>45930</v>
      </c>
      <c r="B727" s="49">
        <v>87680658.790000007</v>
      </c>
      <c r="C727" s="6">
        <v>163</v>
      </c>
      <c r="D727" s="36">
        <f>(1+E725)*(1+E726)*(1+E727)-1</f>
        <v>2.1657593599999858E-2</v>
      </c>
      <c r="E727" s="4">
        <v>5.0000000000000001E-3</v>
      </c>
      <c r="F727" s="4">
        <f t="shared" si="417"/>
        <v>1.6759381036362204</v>
      </c>
      <c r="G727" s="40">
        <f t="shared" si="409"/>
        <v>267.59381036362242</v>
      </c>
      <c r="H727" s="36">
        <f>(1+I725)*(1+I726)*(1+I727)-1</f>
        <v>2.382091219200011E-2</v>
      </c>
      <c r="I727" s="4">
        <v>5.1000000000000004E-3</v>
      </c>
      <c r="J727" s="4">
        <f t="shared" si="410"/>
        <v>2.1055015643526498</v>
      </c>
      <c r="K727" s="40">
        <f t="shared" si="411"/>
        <v>310.5501564352648</v>
      </c>
      <c r="L727" s="36">
        <f>(1+M725)*(1+M726)*(1+M727)-1</f>
        <v>5.6627599895519909E-2</v>
      </c>
      <c r="M727" s="4">
        <v>2.6259999999999999E-2</v>
      </c>
      <c r="N727" s="4">
        <f t="shared" si="418"/>
        <v>3.370205500549976</v>
      </c>
      <c r="O727" s="40">
        <f t="shared" si="412"/>
        <v>437.02055005499824</v>
      </c>
    </row>
    <row r="728" spans="1:15" ht="13.5" x14ac:dyDescent="0.25">
      <c r="A728" s="2">
        <v>45961</v>
      </c>
      <c r="B728" s="49">
        <v>87850728.269999996</v>
      </c>
      <c r="C728" s="6">
        <v>164</v>
      </c>
      <c r="D728" s="37"/>
      <c r="E728" s="4">
        <v>-5.5999999999999999E-3</v>
      </c>
      <c r="F728" s="4">
        <f t="shared" ref="F728:F733" si="419">(F727+1)*(E728+1)-1</f>
        <v>1.6609528502558573</v>
      </c>
      <c r="G728" s="40">
        <f t="shared" ref="G728:G733" si="420">G727*(1+E728)</f>
        <v>266.09528502558612</v>
      </c>
      <c r="H728" s="37"/>
      <c r="I728" s="4">
        <v>-3.5000000000000001E-3</v>
      </c>
      <c r="J728" s="4">
        <f t="shared" ref="J728:J733" si="421">(J727+1)*(I728+1)-1</f>
        <v>2.0946323088774155</v>
      </c>
      <c r="K728" s="40">
        <f t="shared" ref="K728:K733" si="422">K727*(1+I728)</f>
        <v>309.46323088774136</v>
      </c>
      <c r="L728" s="37"/>
      <c r="M728" s="4">
        <v>1.6799999999999999E-2</v>
      </c>
      <c r="N728" s="4">
        <f t="shared" ref="N728:N733" si="423">(N727+1)*(M728+1)-1</f>
        <v>3.4436249529592153</v>
      </c>
      <c r="O728" s="40">
        <f t="shared" ref="O728:O733" si="424">O727*(1+M728)</f>
        <v>444.3624952959222</v>
      </c>
    </row>
    <row r="729" spans="1:15" ht="13.5" x14ac:dyDescent="0.25">
      <c r="A729" s="2">
        <v>45991</v>
      </c>
      <c r="B729" s="49">
        <v>90549456.719999999</v>
      </c>
      <c r="C729" s="6">
        <v>165</v>
      </c>
      <c r="D729" s="37"/>
      <c r="E729" s="4">
        <v>2.29E-2</v>
      </c>
      <c r="F729" s="4">
        <f t="shared" si="419"/>
        <v>1.7218886705267162</v>
      </c>
      <c r="G729" s="40">
        <f t="shared" si="420"/>
        <v>272.18886705267204</v>
      </c>
      <c r="H729" s="37"/>
      <c r="I729" s="4">
        <v>2.3E-2</v>
      </c>
      <c r="J729" s="4">
        <f t="shared" si="421"/>
        <v>2.1658088519815957</v>
      </c>
      <c r="K729" s="40">
        <f t="shared" si="422"/>
        <v>316.58088519815936</v>
      </c>
      <c r="L729" s="37"/>
      <c r="M729" s="4">
        <v>4.1999999999999997E-3</v>
      </c>
      <c r="N729" s="4">
        <f t="shared" si="423"/>
        <v>3.4622881777616437</v>
      </c>
      <c r="O729" s="40">
        <f t="shared" si="424"/>
        <v>446.22881777616504</v>
      </c>
    </row>
    <row r="730" spans="1:15" ht="13.5" x14ac:dyDescent="0.25">
      <c r="A730" s="2">
        <v>46022</v>
      </c>
      <c r="B730" s="49">
        <v>88420711.260000005</v>
      </c>
      <c r="C730" s="6">
        <v>162</v>
      </c>
      <c r="D730" s="36">
        <f>(1+E728)*(1+E729)*(1+E730)-1</f>
        <v>1.6764891295999895E-2</v>
      </c>
      <c r="E730" s="4">
        <v>-4.0000000000000002E-4</v>
      </c>
      <c r="F730" s="4">
        <f t="shared" si="419"/>
        <v>1.7207999150585058</v>
      </c>
      <c r="G730" s="40">
        <f t="shared" si="420"/>
        <v>272.07999150585096</v>
      </c>
      <c r="H730" s="36">
        <f>(1+I728)*(1+I729)*(1+I730)-1</f>
        <v>1.9113674149999982E-2</v>
      </c>
      <c r="I730" s="4">
        <v>-2.9999999999999997E-4</v>
      </c>
      <c r="J730" s="4">
        <f t="shared" si="421"/>
        <v>2.1648591093260015</v>
      </c>
      <c r="K730" s="40">
        <f t="shared" si="422"/>
        <v>316.48591093259995</v>
      </c>
      <c r="L730" s="36">
        <f>(1+M728)*(1+M729)*(1+M730)-1</f>
        <v>2.0866345887999849E-2</v>
      </c>
      <c r="M730" s="4">
        <v>-2.0000000000000001E-4</v>
      </c>
      <c r="N730" s="4">
        <f t="shared" si="423"/>
        <v>3.4613957201260916</v>
      </c>
      <c r="O730" s="40">
        <f t="shared" si="424"/>
        <v>446.13957201260985</v>
      </c>
    </row>
    <row r="731" spans="1:15" ht="13.5" x14ac:dyDescent="0.25">
      <c r="A731" s="2">
        <v>46053</v>
      </c>
      <c r="B731" s="57">
        <v>93910771.379999995</v>
      </c>
      <c r="C731" s="6">
        <v>164</v>
      </c>
      <c r="D731" s="36"/>
      <c r="E731" s="4">
        <v>4.6100000000000002E-2</v>
      </c>
      <c r="F731" s="4">
        <f t="shared" si="419"/>
        <v>1.8462287911427029</v>
      </c>
      <c r="G731" s="40">
        <f t="shared" si="420"/>
        <v>284.62287911427069</v>
      </c>
      <c r="H731" s="56"/>
      <c r="I731" s="4">
        <v>4.8300000000000003E-2</v>
      </c>
      <c r="J731" s="4">
        <f t="shared" si="421"/>
        <v>2.3177218043064474</v>
      </c>
      <c r="K731" s="40">
        <f t="shared" si="422"/>
        <v>331.77218043064454</v>
      </c>
      <c r="L731" s="56"/>
      <c r="M731" s="4">
        <v>9.1999999999999998E-3</v>
      </c>
      <c r="N731" s="4">
        <f t="shared" si="423"/>
        <v>3.5024405607512525</v>
      </c>
      <c r="O731" s="40">
        <f t="shared" si="424"/>
        <v>450.24405607512591</v>
      </c>
    </row>
    <row r="732" spans="1:15" ht="13.5" x14ac:dyDescent="0.25">
      <c r="A732" s="2">
        <v>46081</v>
      </c>
      <c r="B732" s="57">
        <v>96533097.75</v>
      </c>
      <c r="C732" s="6">
        <v>167</v>
      </c>
      <c r="D732" s="36"/>
      <c r="E732" s="4">
        <v>2.2200000000000001E-2</v>
      </c>
      <c r="F732" s="4">
        <f t="shared" si="419"/>
        <v>1.9094150703060708</v>
      </c>
      <c r="G732" s="40">
        <f t="shared" si="420"/>
        <v>290.94150703060751</v>
      </c>
      <c r="H732" s="56"/>
      <c r="I732" s="4">
        <v>2.2200000000000001E-2</v>
      </c>
      <c r="J732" s="4">
        <f t="shared" si="421"/>
        <v>2.3913752283620506</v>
      </c>
      <c r="K732" s="40">
        <f t="shared" si="422"/>
        <v>339.13752283620482</v>
      </c>
      <c r="L732" s="56"/>
      <c r="M732" s="4">
        <v>2.0999999999999999E-3</v>
      </c>
      <c r="N732" s="4">
        <f t="shared" si="423"/>
        <v>3.5118956859288302</v>
      </c>
      <c r="O732" s="40">
        <f t="shared" si="424"/>
        <v>451.18956859288369</v>
      </c>
    </row>
    <row r="733" spans="1:15" ht="13.5" x14ac:dyDescent="0.25">
      <c r="A733" s="2">
        <v>46112</v>
      </c>
      <c r="B733" s="57">
        <v>93480175.579999998</v>
      </c>
      <c r="C733" s="6">
        <v>169</v>
      </c>
      <c r="D733" s="36">
        <f>(1+E731)*(1+E732)*(1+E733)-1</f>
        <v>3.3821882456000152E-2</v>
      </c>
      <c r="E733" s="4">
        <v>-3.32E-2</v>
      </c>
      <c r="F733" s="4">
        <f t="shared" si="419"/>
        <v>1.8128224899719094</v>
      </c>
      <c r="G733" s="40">
        <f t="shared" si="420"/>
        <v>281.28224899719135</v>
      </c>
      <c r="H733" s="56">
        <f>(1+I731)*(1+I732)*(1+I733)-1</f>
        <v>3.6103218193999975E-2</v>
      </c>
      <c r="I733" s="4">
        <v>-3.3099999999999997E-2</v>
      </c>
      <c r="J733" s="4">
        <f t="shared" si="421"/>
        <v>2.2791207083032665</v>
      </c>
      <c r="K733" s="40">
        <f t="shared" si="422"/>
        <v>327.91207083032646</v>
      </c>
      <c r="L733" s="56">
        <f>(1+M731)*(1+M732)*(1+M733)-1</f>
        <v>-2.589723097599983E-2</v>
      </c>
      <c r="M733" s="4">
        <v>-3.6799999999999999E-2</v>
      </c>
      <c r="N733" s="4">
        <f t="shared" si="423"/>
        <v>3.3458579246866496</v>
      </c>
      <c r="O733" s="40">
        <f t="shared" si="424"/>
        <v>434.5857924686656</v>
      </c>
    </row>
    <row r="734" spans="1:15" ht="13.5" x14ac:dyDescent="0.25">
      <c r="A734" s="2">
        <v>46142</v>
      </c>
      <c r="B734" s="57">
        <v>95381874.719999999</v>
      </c>
      <c r="C734" s="6">
        <v>165</v>
      </c>
      <c r="D734" s="36"/>
      <c r="E734" s="4">
        <v>2.6200000000000001E-2</v>
      </c>
      <c r="F734" s="4">
        <f t="shared" ref="F734" si="425">(F733+1)*(E734+1)-1</f>
        <v>1.8865184392091736</v>
      </c>
      <c r="G734" s="40">
        <f t="shared" ref="G734" si="426">G733*(1+E734)</f>
        <v>288.65184392091777</v>
      </c>
      <c r="H734" s="56"/>
      <c r="I734" s="4">
        <v>2.8400000000000002E-2</v>
      </c>
      <c r="J734" s="4">
        <f t="shared" ref="J734" si="427">(J733+1)*(I734+1)-1</f>
        <v>2.3722477364190793</v>
      </c>
      <c r="K734" s="40">
        <f t="shared" ref="K734" si="428">K733*(1+I734)</f>
        <v>337.22477364190775</v>
      </c>
      <c r="L734" s="56"/>
      <c r="M734" s="4">
        <v>6.2300000000000001E-2</v>
      </c>
      <c r="N734" s="4">
        <f t="shared" ref="N734" si="429">(N733+1)*(M734+1)-1</f>
        <v>3.6166048733946283</v>
      </c>
      <c r="O734" s="40">
        <f t="shared" ref="O734" si="430">O733*(1+M734)</f>
        <v>461.66048733946349</v>
      </c>
    </row>
    <row r="735" spans="1:15" ht="13.5" x14ac:dyDescent="0.25">
      <c r="A735" s="2">
        <v>46173</v>
      </c>
      <c r="B735" s="57">
        <v>95426422.379999995</v>
      </c>
      <c r="C735" s="6">
        <v>165</v>
      </c>
      <c r="D735" s="36"/>
      <c r="E735" s="4">
        <v>1.6999999999999999E-3</v>
      </c>
      <c r="F735" s="4">
        <f t="shared" ref="F735" si="431">(F734+1)*(E735+1)-1</f>
        <v>1.8914255205558295</v>
      </c>
      <c r="G735" s="40">
        <f t="shared" ref="G735" si="432">G734*(1+E735)</f>
        <v>289.14255205558334</v>
      </c>
      <c r="H735" s="56"/>
      <c r="I735" s="4">
        <v>1.6999999999999999E-3</v>
      </c>
      <c r="J735" s="4">
        <f t="shared" ref="J735" si="433">(J734+1)*(I735+1)-1</f>
        <v>2.377980557570992</v>
      </c>
      <c r="K735" s="40">
        <f t="shared" ref="K735" si="434">K734*(1+I735)</f>
        <v>337.79805575709901</v>
      </c>
      <c r="L735" s="56"/>
      <c r="M735" s="4">
        <v>3.2599999999999997E-2</v>
      </c>
      <c r="N735" s="4">
        <f t="shared" ref="N735" si="435">(N734+1)*(M735+1)-1</f>
        <v>3.7671061922672928</v>
      </c>
      <c r="O735" s="40">
        <f t="shared" ref="O735" si="436">O734*(1+M735)</f>
        <v>476.71061922672999</v>
      </c>
    </row>
    <row r="736" spans="1:15" ht="13.5" x14ac:dyDescent="0.25">
      <c r="A736" s="2">
        <v>46203</v>
      </c>
      <c r="B736" s="57">
        <v>94341362.030000001</v>
      </c>
      <c r="C736" s="6">
        <v>164</v>
      </c>
      <c r="D736" s="36">
        <f>(1+E734)*(1+E735)*(1+E736)-1</f>
        <v>3.5859712958000056E-2</v>
      </c>
      <c r="E736" s="4">
        <v>7.7000000000000002E-3</v>
      </c>
      <c r="F736" s="4">
        <f t="shared" ref="F736:F738" si="437">(F735+1)*(E736+1)-1</f>
        <v>1.9136894970641096</v>
      </c>
      <c r="G736" s="40">
        <f t="shared" ref="G736:G738" si="438">G735*(1+E736)</f>
        <v>291.36894970641134</v>
      </c>
      <c r="H736" s="56">
        <f>(1+I734)*(1+I735)*(1+I736)-1</f>
        <v>3.8183436583999919E-2</v>
      </c>
      <c r="I736" s="4">
        <v>7.7999999999999996E-3</v>
      </c>
      <c r="J736" s="4">
        <f t="shared" ref="J736:J738" si="439">(J735+1)*(I736+1)-1</f>
        <v>2.4043288059200458</v>
      </c>
      <c r="K736" s="40">
        <f t="shared" ref="K736:K738" si="440">K735*(1+I736)</f>
        <v>340.43288059200438</v>
      </c>
      <c r="L736" s="56">
        <f>(1+M734)*(1+M735)*(1+M736)-1</f>
        <v>9.1994790590000042E-2</v>
      </c>
      <c r="M736" s="4">
        <v>-4.4999999999999997E-3</v>
      </c>
      <c r="N736" s="4">
        <f t="shared" ref="N736:N738" si="441">(N735+1)*(M736+1)-1</f>
        <v>3.7456542144020899</v>
      </c>
      <c r="O736" s="40">
        <f t="shared" ref="O736:O738" si="442">O735*(1+M736)</f>
        <v>474.56542144020972</v>
      </c>
    </row>
    <row r="737" spans="1:15" ht="13.5" x14ac:dyDescent="0.25">
      <c r="A737" s="2">
        <v>46234</v>
      </c>
      <c r="B737" s="57">
        <v>97325092.400000006</v>
      </c>
      <c r="C737" s="6">
        <v>163</v>
      </c>
      <c r="D737" s="36"/>
      <c r="E737" s="4">
        <v>3.2000000000000001E-2</v>
      </c>
      <c r="F737" s="4">
        <f t="shared" si="437"/>
        <v>2.0069275609701611</v>
      </c>
      <c r="G737" s="40">
        <f t="shared" si="438"/>
        <v>300.69275609701651</v>
      </c>
      <c r="H737" s="56"/>
      <c r="I737" s="4">
        <v>3.4099999999999998E-2</v>
      </c>
      <c r="J737" s="4">
        <f t="shared" si="439"/>
        <v>2.5204164182019193</v>
      </c>
      <c r="K737" s="40">
        <f t="shared" si="440"/>
        <v>352.04164182019173</v>
      </c>
      <c r="L737" s="56"/>
      <c r="M737" s="4">
        <v>-5.4999999999999997E-3</v>
      </c>
      <c r="N737" s="4">
        <f t="shared" si="441"/>
        <v>3.7195531162228788</v>
      </c>
      <c r="O737" s="40">
        <f t="shared" si="442"/>
        <v>471.9553116222886</v>
      </c>
    </row>
    <row r="738" spans="1:15" ht="13.5" x14ac:dyDescent="0.25">
      <c r="A738" s="2">
        <v>46265</v>
      </c>
      <c r="B738" s="57">
        <v>98423566.230000004</v>
      </c>
      <c r="C738" s="6">
        <v>163</v>
      </c>
      <c r="D738" s="36"/>
      <c r="E738" s="4">
        <v>1.9300000000000001E-2</v>
      </c>
      <c r="F738" s="4">
        <f t="shared" si="437"/>
        <v>2.0649612628968854</v>
      </c>
      <c r="G738" s="40">
        <f t="shared" si="438"/>
        <v>306.49612628968896</v>
      </c>
      <c r="H738" s="56"/>
      <c r="I738" s="4">
        <v>1.9400000000000001E-2</v>
      </c>
      <c r="J738" s="4">
        <f t="shared" si="439"/>
        <v>2.5887124967150368</v>
      </c>
      <c r="K738" s="40">
        <f t="shared" si="440"/>
        <v>358.87124967150345</v>
      </c>
      <c r="L738" s="56"/>
      <c r="M738" s="4">
        <v>1.7899999999999999E-2</v>
      </c>
      <c r="N738" s="4">
        <f t="shared" si="441"/>
        <v>3.8040331170032688</v>
      </c>
      <c r="O738" s="40">
        <f t="shared" si="442"/>
        <v>480.40331170032761</v>
      </c>
    </row>
    <row r="739" spans="1:15" ht="13.5" x14ac:dyDescent="0.25">
      <c r="A739" s="2">
        <v>46295</v>
      </c>
      <c r="B739" s="57">
        <v>94994850.939999998</v>
      </c>
      <c r="C739" s="6">
        <v>163</v>
      </c>
      <c r="D739" s="36">
        <f>(1+E737)*(1+E738)*(1+E739)-1</f>
        <v>1.9518537920000023E-2</v>
      </c>
      <c r="E739" s="4">
        <v>-3.0800000000000001E-2</v>
      </c>
      <c r="F739" s="4">
        <f t="shared" ref="F739" si="443">(F738+1)*(E739+1)-1</f>
        <v>1.970560455999661</v>
      </c>
      <c r="G739" s="40">
        <f t="shared" ref="G739" si="444">G738*(1+E739)</f>
        <v>297.05604559996652</v>
      </c>
      <c r="H739" s="56">
        <f>(1+I737)*(1+I738)*(1+I739)-1</f>
        <v>2.1798780722000144E-2</v>
      </c>
      <c r="I739" s="4">
        <v>-3.0700000000000002E-2</v>
      </c>
      <c r="J739" s="4">
        <f t="shared" ref="J739" si="445">(J738+1)*(I739+1)-1</f>
        <v>2.4785390230658852</v>
      </c>
      <c r="K739" s="40">
        <f t="shared" ref="K739" si="446">K738*(1+I739)</f>
        <v>347.85390230658834</v>
      </c>
      <c r="L739" s="56">
        <f>(1+M737)*(1+M738)*(1+M739)-1</f>
        <v>-3.5221937499985145E-4</v>
      </c>
      <c r="M739" s="4">
        <v>-1.2500000000000001E-2</v>
      </c>
      <c r="N739" s="4">
        <f t="shared" ref="N739" si="447">(N738+1)*(M739+1)-1</f>
        <v>3.7439827030407278</v>
      </c>
      <c r="O739" s="40">
        <f t="shared" ref="O739" si="448">O738*(1+M739)</f>
        <v>474.39827030407355</v>
      </c>
    </row>
    <row r="740" spans="1:15" ht="13.5" x14ac:dyDescent="0.25">
      <c r="A740" s="5"/>
      <c r="B740" s="1"/>
      <c r="C740" s="1"/>
      <c r="D740" s="32"/>
      <c r="E740" s="1"/>
      <c r="F740" s="1"/>
      <c r="G740" s="40"/>
      <c r="H740" s="32"/>
      <c r="I740" s="1"/>
      <c r="J740" s="1"/>
      <c r="K740" s="13"/>
      <c r="M740" s="1"/>
      <c r="N740" s="1"/>
      <c r="O740" s="40"/>
    </row>
    <row r="741" spans="1:15" ht="13.5" x14ac:dyDescent="0.25">
      <c r="A741" s="1"/>
      <c r="B741" s="1"/>
      <c r="C741" s="1"/>
      <c r="D741" s="32"/>
      <c r="E741" s="1"/>
      <c r="F741" s="1"/>
      <c r="G741" s="1"/>
      <c r="H741" s="32"/>
      <c r="I741" s="1"/>
      <c r="J741" s="1"/>
      <c r="K741" s="13"/>
      <c r="M741" s="1"/>
      <c r="N741" s="1"/>
    </row>
    <row r="742" spans="1:15" ht="15" x14ac:dyDescent="0.25">
      <c r="A742" s="11" t="s">
        <v>11</v>
      </c>
      <c r="B742" s="1"/>
      <c r="C742" s="1"/>
      <c r="D742" s="32"/>
      <c r="E742" s="1"/>
      <c r="F742" s="1"/>
      <c r="G742" s="1"/>
      <c r="H742" s="32"/>
      <c r="I742" s="1"/>
      <c r="J742" s="1"/>
      <c r="K742" s="13"/>
      <c r="M742" s="1"/>
      <c r="N742" s="1"/>
    </row>
    <row r="743" spans="1:15" ht="42" customHeight="1" x14ac:dyDescent="0.25">
      <c r="A743" s="7" t="s">
        <v>26</v>
      </c>
      <c r="B743" s="7" t="s">
        <v>1</v>
      </c>
      <c r="C743" s="7" t="s">
        <v>2</v>
      </c>
      <c r="D743" s="33" t="s">
        <v>55</v>
      </c>
      <c r="E743" s="7" t="s">
        <v>54</v>
      </c>
      <c r="F743" s="7" t="s">
        <v>5</v>
      </c>
      <c r="G743" s="7" t="s">
        <v>59</v>
      </c>
      <c r="H743" s="33" t="s">
        <v>52</v>
      </c>
      <c r="I743" s="7" t="s">
        <v>53</v>
      </c>
      <c r="J743" s="7" t="s">
        <v>4</v>
      </c>
      <c r="K743" s="14" t="s">
        <v>60</v>
      </c>
      <c r="L743" s="7" t="s">
        <v>76</v>
      </c>
      <c r="M743" s="7" t="s">
        <v>77</v>
      </c>
      <c r="N743" s="7" t="s">
        <v>78</v>
      </c>
      <c r="O743" s="7" t="s">
        <v>79</v>
      </c>
    </row>
    <row r="744" spans="1:15" ht="13.5" x14ac:dyDescent="0.25">
      <c r="A744" s="2">
        <v>40451</v>
      </c>
      <c r="B744" s="49">
        <v>0</v>
      </c>
      <c r="C744" s="1">
        <v>0</v>
      </c>
      <c r="D744" s="37"/>
      <c r="E744" s="4"/>
      <c r="F744" s="20">
        <v>1</v>
      </c>
      <c r="G744" s="41">
        <v>100</v>
      </c>
      <c r="H744" s="34"/>
      <c r="I744" s="4"/>
      <c r="J744" s="20">
        <v>1</v>
      </c>
      <c r="K744" s="41">
        <v>100</v>
      </c>
      <c r="M744" s="4"/>
      <c r="N744" s="20">
        <v>1</v>
      </c>
      <c r="O744" s="41">
        <v>100</v>
      </c>
    </row>
    <row r="745" spans="1:15" ht="13.5" x14ac:dyDescent="0.25">
      <c r="A745" s="2">
        <v>40543</v>
      </c>
      <c r="B745" s="49">
        <v>874173.76</v>
      </c>
      <c r="C745" s="6">
        <v>1</v>
      </c>
      <c r="D745" s="44">
        <f>E745</f>
        <v>7.5508199999999998E-3</v>
      </c>
      <c r="E745" s="4">
        <v>7.5508199999999998E-3</v>
      </c>
      <c r="F745" s="4">
        <f>(F744)*(E745+1)</f>
        <v>1.0075508200000001</v>
      </c>
      <c r="G745" s="41">
        <f>G744*(1+E745)</f>
        <v>100.755082</v>
      </c>
      <c r="H745" s="44">
        <f>I745</f>
        <v>1.048402E-2</v>
      </c>
      <c r="I745" s="4">
        <v>1.048402E-2</v>
      </c>
      <c r="J745" s="4">
        <f>(J744)*(I745+1)</f>
        <v>1.01048402</v>
      </c>
      <c r="K745" s="41">
        <f>K744*(1+I745)</f>
        <v>101.04840200000001</v>
      </c>
      <c r="L745" s="44">
        <f>M745</f>
        <v>-1.29E-2</v>
      </c>
      <c r="M745" s="4">
        <v>-1.29E-2</v>
      </c>
      <c r="N745" s="4">
        <f>(N744)*(M745+1)</f>
        <v>0.98709999999999998</v>
      </c>
      <c r="O745" s="41">
        <f>O744*(1+M745)</f>
        <v>98.71</v>
      </c>
    </row>
    <row r="746" spans="1:15" ht="13.5" x14ac:dyDescent="0.25">
      <c r="A746" s="2">
        <v>40633</v>
      </c>
      <c r="B746" s="49">
        <v>1040570.33</v>
      </c>
      <c r="C746" s="6">
        <v>1</v>
      </c>
      <c r="D746" s="44">
        <f t="shared" ref="D746:D760" si="449">E746</f>
        <v>8.9999999999999993E-3</v>
      </c>
      <c r="E746" s="4">
        <v>8.9999999999999993E-3</v>
      </c>
      <c r="F746" s="4">
        <f>(E745+1)*(E746+1)-1</f>
        <v>1.6618777379999949E-2</v>
      </c>
      <c r="G746" s="40">
        <f>G745*(1+E746)</f>
        <v>101.66187773799999</v>
      </c>
      <c r="H746" s="44">
        <f t="shared" ref="H746:H760" si="450">I746</f>
        <v>1.135546E-2</v>
      </c>
      <c r="I746" s="4">
        <v>1.135546E-2</v>
      </c>
      <c r="J746" s="4">
        <f>(I745+1)*(I746+1)-1</f>
        <v>2.1958530869749415E-2</v>
      </c>
      <c r="K746" s="40">
        <f>K745*(1+I746)</f>
        <v>102.19585308697494</v>
      </c>
      <c r="L746" s="44">
        <f t="shared" ref="L746:L760" si="451">M746</f>
        <v>4.3E-3</v>
      </c>
      <c r="M746" s="4">
        <v>4.3E-3</v>
      </c>
      <c r="N746" s="4">
        <f>(M745+1)*(M746+1)-1</f>
        <v>-8.6554699999999984E-3</v>
      </c>
      <c r="O746" s="40">
        <f>O745*(1+M746)</f>
        <v>99.134452999999993</v>
      </c>
    </row>
    <row r="747" spans="1:15" ht="13.5" x14ac:dyDescent="0.25">
      <c r="A747" s="2">
        <v>40724</v>
      </c>
      <c r="B747" s="49">
        <v>1053251.8999999999</v>
      </c>
      <c r="C747" s="6">
        <v>1</v>
      </c>
      <c r="D747" s="44">
        <f t="shared" si="449"/>
        <v>1.2200000000000001E-2</v>
      </c>
      <c r="E747" s="4">
        <v>1.2200000000000001E-2</v>
      </c>
      <c r="F747" s="4">
        <f>(F746+1)*(E747+1)-1</f>
        <v>2.9021526464035885E-2</v>
      </c>
      <c r="G747" s="40">
        <f t="shared" ref="G747:G810" si="452">G746*(1+E747)</f>
        <v>102.90215264640358</v>
      </c>
      <c r="H747" s="44">
        <f t="shared" si="450"/>
        <v>1.4595189999999999E-2</v>
      </c>
      <c r="I747" s="4">
        <v>1.4595189999999999E-2</v>
      </c>
      <c r="J747" s="4">
        <f t="shared" ref="J747:J755" si="453">(J746+1)*(I747+1)-1</f>
        <v>3.6874209799914404E-2</v>
      </c>
      <c r="K747" s="40">
        <f t="shared" ref="K747:K810" si="454">K746*(1+I747)</f>
        <v>103.68742097999143</v>
      </c>
      <c r="L747" s="44">
        <f t="shared" si="451"/>
        <v>2.3E-2</v>
      </c>
      <c r="M747" s="4">
        <v>2.3E-2</v>
      </c>
      <c r="N747" s="4">
        <f>(N746+1)*(M747+1)-1</f>
        <v>1.4145454189999906E-2</v>
      </c>
      <c r="O747" s="40">
        <f t="shared" ref="O747:O810" si="455">O746*(1+M747)</f>
        <v>101.41454541899998</v>
      </c>
    </row>
    <row r="748" spans="1:15" ht="13.5" x14ac:dyDescent="0.25">
      <c r="A748" s="2">
        <v>40816</v>
      </c>
      <c r="B748" s="49">
        <v>3542988.79</v>
      </c>
      <c r="C748" s="6">
        <v>3</v>
      </c>
      <c r="D748" s="44">
        <f t="shared" si="449"/>
        <v>-6.3E-3</v>
      </c>
      <c r="E748" s="4">
        <v>-6.3E-3</v>
      </c>
      <c r="F748" s="4">
        <f>(F747+1)*(E748+1)-1</f>
        <v>2.2538690847312415E-2</v>
      </c>
      <c r="G748" s="40">
        <f t="shared" si="452"/>
        <v>102.25386908473124</v>
      </c>
      <c r="H748" s="44">
        <f t="shared" si="450"/>
        <v>-4.89647E-3</v>
      </c>
      <c r="I748" s="4">
        <v>-4.89647E-3</v>
      </c>
      <c r="J748" s="4">
        <f t="shared" si="453"/>
        <v>3.1797186337855443E-2</v>
      </c>
      <c r="K748" s="40">
        <f t="shared" si="454"/>
        <v>103.17971863378553</v>
      </c>
      <c r="L748" s="44">
        <f t="shared" si="451"/>
        <v>3.7900000000000003E-2</v>
      </c>
      <c r="M748" s="4">
        <v>3.7900000000000003E-2</v>
      </c>
      <c r="N748" s="4">
        <f>(N747+1)*(M748+1)-1</f>
        <v>5.2581566903801003E-2</v>
      </c>
      <c r="O748" s="40">
        <f t="shared" si="455"/>
        <v>105.25815669038008</v>
      </c>
    </row>
    <row r="749" spans="1:15" ht="13.5" x14ac:dyDescent="0.25">
      <c r="A749" s="2">
        <v>40908</v>
      </c>
      <c r="B749" s="49">
        <v>3196832.77</v>
      </c>
      <c r="C749" s="6">
        <v>3</v>
      </c>
      <c r="D749" s="44">
        <f t="shared" si="449"/>
        <v>6.6E-3</v>
      </c>
      <c r="E749" s="4">
        <v>6.6E-3</v>
      </c>
      <c r="F749" s="4">
        <f>(F748+1)*(E749+1)-1</f>
        <v>2.9287446206904599E-2</v>
      </c>
      <c r="G749" s="40">
        <f t="shared" si="452"/>
        <v>102.92874462069045</v>
      </c>
      <c r="H749" s="44">
        <f t="shared" si="450"/>
        <v>7.9949600000000006E-3</v>
      </c>
      <c r="I749" s="4">
        <v>7.9949600000000006E-3</v>
      </c>
      <c r="J749" s="4">
        <f t="shared" si="453"/>
        <v>4.0046363570739096E-2</v>
      </c>
      <c r="K749" s="40">
        <f t="shared" si="454"/>
        <v>104.00463635707389</v>
      </c>
      <c r="L749" s="44">
        <f t="shared" si="451"/>
        <v>1.1599999999999999E-2</v>
      </c>
      <c r="M749" s="4">
        <v>1.1599999999999999E-2</v>
      </c>
      <c r="N749" s="4">
        <f>(N748+1)*(M749+1)-1</f>
        <v>6.4791513079885066E-2</v>
      </c>
      <c r="O749" s="40">
        <f t="shared" si="455"/>
        <v>106.47915130798849</v>
      </c>
    </row>
    <row r="750" spans="1:15" ht="13.5" x14ac:dyDescent="0.25">
      <c r="A750" s="2">
        <v>40999</v>
      </c>
      <c r="B750" s="49">
        <v>3194395.51</v>
      </c>
      <c r="C750" s="6">
        <v>3</v>
      </c>
      <c r="D750" s="44">
        <f t="shared" si="449"/>
        <v>1.17E-2</v>
      </c>
      <c r="E750" s="4">
        <v>1.17E-2</v>
      </c>
      <c r="F750" s="4">
        <f>(F749+1)*(E750+1)-1</f>
        <v>4.1330109327525344E-2</v>
      </c>
      <c r="G750" s="40">
        <f t="shared" si="452"/>
        <v>104.13301093275254</v>
      </c>
      <c r="H750" s="44">
        <f t="shared" si="450"/>
        <v>1.3166600000000001E-2</v>
      </c>
      <c r="I750" s="4">
        <v>1.3166600000000001E-2</v>
      </c>
      <c r="J750" s="4">
        <f t="shared" si="453"/>
        <v>5.3740238021329434E-2</v>
      </c>
      <c r="K750" s="40">
        <f t="shared" si="454"/>
        <v>105.37402380213294</v>
      </c>
      <c r="L750" s="44">
        <f t="shared" si="451"/>
        <v>-1.83E-2</v>
      </c>
      <c r="M750" s="4">
        <v>-1.83E-2</v>
      </c>
      <c r="N750" s="4">
        <f>(N749+1)*(M750+1)-1</f>
        <v>4.5305828390523217E-2</v>
      </c>
      <c r="O750" s="40">
        <f t="shared" si="455"/>
        <v>104.5305828390523</v>
      </c>
    </row>
    <row r="751" spans="1:15" ht="13.5" x14ac:dyDescent="0.25">
      <c r="A751" s="2">
        <v>41090</v>
      </c>
      <c r="B751" s="49">
        <v>3099933.15</v>
      </c>
      <c r="C751" s="6">
        <v>3</v>
      </c>
      <c r="D751" s="44">
        <f t="shared" si="449"/>
        <v>2.0000000000000001E-4</v>
      </c>
      <c r="E751" s="4">
        <v>2.0000000000000001E-4</v>
      </c>
      <c r="F751" s="4">
        <f>(F750+1)*(E751+1)-1</f>
        <v>4.1538375349390755E-2</v>
      </c>
      <c r="G751" s="40">
        <f t="shared" si="452"/>
        <v>104.15383753493909</v>
      </c>
      <c r="H751" s="44">
        <f t="shared" si="450"/>
        <v>1.6894600000000001E-3</v>
      </c>
      <c r="I751" s="4">
        <v>1.6894600000000001E-3</v>
      </c>
      <c r="J751" s="4">
        <f t="shared" si="453"/>
        <v>5.5520490003856837E-2</v>
      </c>
      <c r="K751" s="40">
        <f t="shared" si="454"/>
        <v>105.55204900038568</v>
      </c>
      <c r="L751" s="44">
        <f t="shared" si="451"/>
        <v>2.06E-2</v>
      </c>
      <c r="M751" s="4">
        <v>2.06E-2</v>
      </c>
      <c r="N751" s="4">
        <f>(N750+1)*(M751+1)-1</f>
        <v>6.6839128455367991E-2</v>
      </c>
      <c r="O751" s="40">
        <f t="shared" si="455"/>
        <v>106.68391284553677</v>
      </c>
    </row>
    <row r="752" spans="1:15" ht="13.5" x14ac:dyDescent="0.25">
      <c r="A752" s="2">
        <v>41182</v>
      </c>
      <c r="B752" s="49">
        <v>3080241.67</v>
      </c>
      <c r="C752" s="6">
        <v>3</v>
      </c>
      <c r="D752" s="44">
        <f t="shared" si="449"/>
        <v>9.7999999999999997E-3</v>
      </c>
      <c r="E752" s="4">
        <v>9.7999999999999997E-3</v>
      </c>
      <c r="F752" s="4">
        <f t="shared" ref="F752:F815" si="456">(F751+1)*(E752+1)-1</f>
        <v>5.1745451427814837E-2</v>
      </c>
      <c r="G752" s="40">
        <f t="shared" si="452"/>
        <v>105.1745451427815</v>
      </c>
      <c r="H752" s="44">
        <f t="shared" si="450"/>
        <v>1.130196E-2</v>
      </c>
      <c r="I752" s="4">
        <v>1.130196E-2</v>
      </c>
      <c r="J752" s="4">
        <f t="shared" si="453"/>
        <v>6.7449940361060667E-2</v>
      </c>
      <c r="K752" s="40">
        <f t="shared" si="454"/>
        <v>106.74499403610608</v>
      </c>
      <c r="L752" s="44">
        <f t="shared" si="451"/>
        <v>1.6E-2</v>
      </c>
      <c r="M752" s="4">
        <v>1.6E-2</v>
      </c>
      <c r="N752" s="4">
        <f t="shared" ref="N752:N757" si="457">(N751+1)*(M752+1)-1</f>
        <v>8.3908554510653932E-2</v>
      </c>
      <c r="O752" s="40">
        <f t="shared" si="455"/>
        <v>108.39085545106536</v>
      </c>
    </row>
    <row r="753" spans="1:15" ht="13.5" x14ac:dyDescent="0.25">
      <c r="A753" s="2">
        <v>41274</v>
      </c>
      <c r="B753" s="49">
        <v>3068413.57</v>
      </c>
      <c r="C753" s="6">
        <v>3</v>
      </c>
      <c r="D753" s="44">
        <f t="shared" si="449"/>
        <v>1E-3</v>
      </c>
      <c r="E753" s="4">
        <v>1E-3</v>
      </c>
      <c r="F753" s="4">
        <f t="shared" si="456"/>
        <v>5.2797196879242447E-2</v>
      </c>
      <c r="G753" s="40">
        <f t="shared" si="452"/>
        <v>105.27971968792427</v>
      </c>
      <c r="H753" s="44">
        <f t="shared" si="450"/>
        <v>2.4953800000000002E-3</v>
      </c>
      <c r="I753" s="4">
        <v>2.4953800000000002E-3</v>
      </c>
      <c r="J753" s="4">
        <f t="shared" si="453"/>
        <v>7.0113633593238855E-2</v>
      </c>
      <c r="K753" s="40">
        <f t="shared" si="454"/>
        <v>107.01136335932391</v>
      </c>
      <c r="L753" s="44">
        <f t="shared" si="451"/>
        <v>2.2000000000000001E-3</v>
      </c>
      <c r="M753" s="4">
        <v>2.2000000000000001E-3</v>
      </c>
      <c r="N753" s="4">
        <f t="shared" si="457"/>
        <v>8.6293153330577299E-2</v>
      </c>
      <c r="O753" s="40">
        <f t="shared" si="455"/>
        <v>108.6293153330577</v>
      </c>
    </row>
    <row r="754" spans="1:15" ht="13.5" x14ac:dyDescent="0.25">
      <c r="A754" s="2">
        <v>41364</v>
      </c>
      <c r="B754" s="49">
        <v>3041829.1</v>
      </c>
      <c r="C754" s="6">
        <v>3</v>
      </c>
      <c r="D754" s="44">
        <f t="shared" si="449"/>
        <v>2.7000000000000001E-3</v>
      </c>
      <c r="E754" s="4">
        <v>2.7000000000000001E-3</v>
      </c>
      <c r="F754" s="4">
        <f t="shared" si="456"/>
        <v>5.5639749310816278E-2</v>
      </c>
      <c r="G754" s="40">
        <f t="shared" si="452"/>
        <v>105.56397493108166</v>
      </c>
      <c r="H754" s="44">
        <f t="shared" si="450"/>
        <v>4.1900000000000001E-3</v>
      </c>
      <c r="I754" s="4">
        <v>4.1900000000000001E-3</v>
      </c>
      <c r="J754" s="4">
        <f t="shared" si="453"/>
        <v>7.4597409717994445E-2</v>
      </c>
      <c r="K754" s="40">
        <f t="shared" si="454"/>
        <v>107.45974097179946</v>
      </c>
      <c r="L754" s="44">
        <f t="shared" si="451"/>
        <v>-1.1999999999999999E-3</v>
      </c>
      <c r="M754" s="4">
        <v>-1.1999999999999999E-3</v>
      </c>
      <c r="N754" s="4">
        <f t="shared" si="457"/>
        <v>8.4989601546580529E-2</v>
      </c>
      <c r="O754" s="40">
        <f t="shared" si="455"/>
        <v>108.49896015465804</v>
      </c>
    </row>
    <row r="755" spans="1:15" ht="13.5" x14ac:dyDescent="0.25">
      <c r="A755" s="2">
        <v>41455</v>
      </c>
      <c r="B755" s="49">
        <v>3011647.33</v>
      </c>
      <c r="C755" s="6">
        <v>3</v>
      </c>
      <c r="D755" s="44">
        <f t="shared" si="449"/>
        <v>-9.9000000000000008E-3</v>
      </c>
      <c r="E755" s="4">
        <v>-9.9000000000000008E-3</v>
      </c>
      <c r="F755" s="4">
        <f t="shared" si="456"/>
        <v>4.5188915792639284E-2</v>
      </c>
      <c r="G755" s="40">
        <f t="shared" si="452"/>
        <v>104.51889157926395</v>
      </c>
      <c r="H755" s="44">
        <f t="shared" si="450"/>
        <v>-8.4819200000000004E-3</v>
      </c>
      <c r="I755" s="4">
        <v>-8.4819200000000004E-3</v>
      </c>
      <c r="J755" s="4">
        <f t="shared" si="453"/>
        <v>6.5482760456559097E-2</v>
      </c>
      <c r="K755" s="40">
        <f t="shared" si="454"/>
        <v>106.54827604565594</v>
      </c>
      <c r="L755" s="44">
        <f t="shared" si="451"/>
        <v>-2.3300000000000001E-2</v>
      </c>
      <c r="M755" s="4">
        <v>-2.3300000000000001E-2</v>
      </c>
      <c r="N755" s="4">
        <f t="shared" si="457"/>
        <v>5.9709343830545158E-2</v>
      </c>
      <c r="O755" s="40">
        <f t="shared" si="455"/>
        <v>105.9709343830545</v>
      </c>
    </row>
    <row r="756" spans="1:15" ht="13.5" x14ac:dyDescent="0.25">
      <c r="A756" s="2">
        <v>41547</v>
      </c>
      <c r="B756" s="49">
        <v>2992663.81</v>
      </c>
      <c r="C756" s="6">
        <v>3</v>
      </c>
      <c r="D756" s="44">
        <f t="shared" si="449"/>
        <v>6.9999999999999999E-4</v>
      </c>
      <c r="E756" s="4">
        <v>6.9999999999999999E-4</v>
      </c>
      <c r="F756" s="4">
        <f t="shared" si="456"/>
        <v>4.5920548033693942E-2</v>
      </c>
      <c r="G756" s="40">
        <f t="shared" si="452"/>
        <v>104.59205480336942</v>
      </c>
      <c r="H756" s="44">
        <f t="shared" si="450"/>
        <v>2.2000000000000001E-3</v>
      </c>
      <c r="I756" s="4">
        <v>2.2000000000000001E-3</v>
      </c>
      <c r="J756" s="4">
        <f t="shared" ref="J756:J819" si="458">(J755+1)*(I756+1)-1</f>
        <v>6.7826822529563513E-2</v>
      </c>
      <c r="K756" s="40">
        <f t="shared" si="454"/>
        <v>106.78268225295638</v>
      </c>
      <c r="L756" s="44">
        <f t="shared" si="451"/>
        <v>5.7999999999999996E-3</v>
      </c>
      <c r="M756" s="4">
        <v>5.7999999999999996E-3</v>
      </c>
      <c r="N756" s="4">
        <f t="shared" si="457"/>
        <v>6.5855658024762453E-2</v>
      </c>
      <c r="O756" s="40">
        <f t="shared" si="455"/>
        <v>106.58556580247621</v>
      </c>
    </row>
    <row r="757" spans="1:15" ht="13.5" x14ac:dyDescent="0.25">
      <c r="A757" s="2">
        <v>41639</v>
      </c>
      <c r="B757" s="49">
        <v>2356902.94</v>
      </c>
      <c r="C757" s="6">
        <v>3</v>
      </c>
      <c r="D757" s="44">
        <f t="shared" si="449"/>
        <v>-1.4E-3</v>
      </c>
      <c r="E757" s="4">
        <v>-1.4E-3</v>
      </c>
      <c r="F757" s="4">
        <f t="shared" si="456"/>
        <v>4.4456259266446807E-2</v>
      </c>
      <c r="G757" s="40">
        <f t="shared" si="452"/>
        <v>104.44562592664471</v>
      </c>
      <c r="H757" s="44">
        <f t="shared" si="450"/>
        <v>2.393E-5</v>
      </c>
      <c r="I757" s="4">
        <v>2.393E-5</v>
      </c>
      <c r="J757" s="4">
        <f t="shared" si="458"/>
        <v>6.7852375625426564E-2</v>
      </c>
      <c r="K757" s="40">
        <f t="shared" si="454"/>
        <v>106.78523756254269</v>
      </c>
      <c r="L757" s="44">
        <f t="shared" si="451"/>
        <v>-1.4E-3</v>
      </c>
      <c r="M757" s="4">
        <v>-1.4E-3</v>
      </c>
      <c r="N757" s="4">
        <f t="shared" si="457"/>
        <v>6.4363460103527892E-2</v>
      </c>
      <c r="O757" s="40">
        <f t="shared" si="455"/>
        <v>106.43634601035275</v>
      </c>
    </row>
    <row r="758" spans="1:15" ht="13.5" x14ac:dyDescent="0.25">
      <c r="A758" s="2">
        <v>41729</v>
      </c>
      <c r="B758" s="49">
        <v>2372519.4700000002</v>
      </c>
      <c r="C758" s="6">
        <v>3</v>
      </c>
      <c r="D758" s="44">
        <f t="shared" si="449"/>
        <v>6.7000000000000002E-3</v>
      </c>
      <c r="E758" s="4">
        <v>6.7000000000000002E-3</v>
      </c>
      <c r="F758" s="4">
        <f t="shared" si="456"/>
        <v>5.1454116203532019E-2</v>
      </c>
      <c r="G758" s="40">
        <f t="shared" si="452"/>
        <v>105.14541162035322</v>
      </c>
      <c r="H758" s="44">
        <f t="shared" si="450"/>
        <v>8.2847700000000003E-3</v>
      </c>
      <c r="I758" s="4">
        <v>8.2847700000000003E-3</v>
      </c>
      <c r="J758" s="4">
        <f t="shared" si="458"/>
        <v>7.6699286951436685E-2</v>
      </c>
      <c r="K758" s="40">
        <f t="shared" si="454"/>
        <v>107.66992869514371</v>
      </c>
      <c r="L758" s="44">
        <f t="shared" si="451"/>
        <v>1.84E-2</v>
      </c>
      <c r="M758" s="4">
        <v>1.84E-2</v>
      </c>
      <c r="N758" s="4">
        <f t="shared" ref="N758:N763" si="459">(N757+1)*(M758+1)-1</f>
        <v>8.3947747769432812E-2</v>
      </c>
      <c r="O758" s="40">
        <f t="shared" si="455"/>
        <v>108.39477477694324</v>
      </c>
    </row>
    <row r="759" spans="1:15" ht="13.5" x14ac:dyDescent="0.25">
      <c r="A759" s="2">
        <v>41820</v>
      </c>
      <c r="B759" s="49">
        <v>2260316.87</v>
      </c>
      <c r="C759" s="6">
        <v>3</v>
      </c>
      <c r="D759" s="44">
        <f t="shared" si="449"/>
        <v>5.4999999999999997E-3</v>
      </c>
      <c r="E759" s="4">
        <v>5.4999999999999997E-3</v>
      </c>
      <c r="F759" s="4">
        <f t="shared" si="456"/>
        <v>5.723711384265151E-2</v>
      </c>
      <c r="G759" s="40">
        <f t="shared" si="452"/>
        <v>105.72371138426516</v>
      </c>
      <c r="H759" s="44">
        <f t="shared" si="450"/>
        <v>7.0309999999999999E-3</v>
      </c>
      <c r="I759" s="4">
        <v>7.0309999999999999E-3</v>
      </c>
      <c r="J759" s="4">
        <f t="shared" si="458"/>
        <v>8.426955963799232E-2</v>
      </c>
      <c r="K759" s="40">
        <f t="shared" si="454"/>
        <v>108.42695596379927</v>
      </c>
      <c r="L759" s="44">
        <f t="shared" si="451"/>
        <v>2.0400000000000001E-2</v>
      </c>
      <c r="M759" s="4">
        <v>2.0400000000000001E-2</v>
      </c>
      <c r="N759" s="4">
        <f t="shared" si="459"/>
        <v>0.10606028182392913</v>
      </c>
      <c r="O759" s="40">
        <f t="shared" si="455"/>
        <v>110.60602818239288</v>
      </c>
    </row>
    <row r="760" spans="1:15" ht="13.5" x14ac:dyDescent="0.25">
      <c r="A760" s="2">
        <v>41912</v>
      </c>
      <c r="B760" s="49">
        <v>2173824.25</v>
      </c>
      <c r="C760" s="6">
        <v>3</v>
      </c>
      <c r="D760" s="44">
        <f t="shared" si="449"/>
        <v>-4.4900000000000001E-3</v>
      </c>
      <c r="E760" s="4">
        <v>-4.4900000000000001E-3</v>
      </c>
      <c r="F760" s="4">
        <f t="shared" si="456"/>
        <v>5.2490119201497931E-2</v>
      </c>
      <c r="G760" s="40">
        <f t="shared" si="452"/>
        <v>105.24901192014981</v>
      </c>
      <c r="H760" s="44">
        <f t="shared" si="450"/>
        <v>-2.8E-3</v>
      </c>
      <c r="I760" s="4">
        <v>-2.8E-3</v>
      </c>
      <c r="J760" s="4">
        <f t="shared" si="458"/>
        <v>8.1233604871005838E-2</v>
      </c>
      <c r="K760" s="40">
        <f t="shared" si="454"/>
        <v>108.12336048710063</v>
      </c>
      <c r="L760" s="44">
        <f t="shared" si="451"/>
        <v>1.6000000000000001E-3</v>
      </c>
      <c r="M760" s="4">
        <v>1.6000000000000001E-3</v>
      </c>
      <c r="N760" s="4">
        <f t="shared" si="459"/>
        <v>0.10782997827484753</v>
      </c>
      <c r="O760" s="40">
        <f t="shared" si="455"/>
        <v>110.78299782748471</v>
      </c>
    </row>
    <row r="761" spans="1:15" ht="13.5" x14ac:dyDescent="0.25">
      <c r="A761" s="2">
        <v>41943</v>
      </c>
      <c r="B761" s="49">
        <v>2732421.82</v>
      </c>
      <c r="C761" s="6">
        <v>5</v>
      </c>
      <c r="D761" s="37"/>
      <c r="E761" s="4">
        <v>1E-4</v>
      </c>
      <c r="F761" s="4">
        <f t="shared" si="456"/>
        <v>5.2595368213418148E-2</v>
      </c>
      <c r="G761" s="40">
        <f t="shared" si="452"/>
        <v>105.25953682134183</v>
      </c>
      <c r="H761" s="37"/>
      <c r="I761" s="4">
        <v>1.1000000000000001E-3</v>
      </c>
      <c r="J761" s="4">
        <f t="shared" si="458"/>
        <v>8.2422961836364106E-2</v>
      </c>
      <c r="K761" s="40">
        <f t="shared" si="454"/>
        <v>108.24229618363645</v>
      </c>
      <c r="L761" s="37"/>
      <c r="M761" s="4">
        <v>9.7999999999999997E-3</v>
      </c>
      <c r="N761" s="4">
        <f t="shared" si="459"/>
        <v>0.11868671206194104</v>
      </c>
      <c r="O761" s="40">
        <f t="shared" si="455"/>
        <v>111.86867120619407</v>
      </c>
    </row>
    <row r="762" spans="1:15" ht="13.5" x14ac:dyDescent="0.25">
      <c r="A762" s="2">
        <v>41973</v>
      </c>
      <c r="B762" s="49">
        <v>2627397.64</v>
      </c>
      <c r="C762" s="6">
        <v>5</v>
      </c>
      <c r="D762" s="37"/>
      <c r="E762" s="4">
        <v>0</v>
      </c>
      <c r="F762" s="4">
        <f t="shared" si="456"/>
        <v>5.2595368213418148E-2</v>
      </c>
      <c r="G762" s="40">
        <f t="shared" si="452"/>
        <v>105.25953682134183</v>
      </c>
      <c r="H762" s="37"/>
      <c r="I762" s="4">
        <v>0</v>
      </c>
      <c r="J762" s="4">
        <f t="shared" si="458"/>
        <v>8.2422961836364106E-2</v>
      </c>
      <c r="K762" s="40">
        <f t="shared" si="454"/>
        <v>108.24229618363645</v>
      </c>
      <c r="L762" s="37"/>
      <c r="M762" s="4">
        <v>7.1000000000000004E-3</v>
      </c>
      <c r="N762" s="4">
        <f t="shared" si="459"/>
        <v>0.12662938771758103</v>
      </c>
      <c r="O762" s="40">
        <f t="shared" si="455"/>
        <v>112.66293877175805</v>
      </c>
    </row>
    <row r="763" spans="1:15" ht="13.5" x14ac:dyDescent="0.25">
      <c r="A763" s="2">
        <v>42004</v>
      </c>
      <c r="B763" s="49">
        <v>2616744.58</v>
      </c>
      <c r="C763" s="6">
        <v>5</v>
      </c>
      <c r="D763" s="36">
        <f>(1+E761)*(1+E762)*(1+E763)-1</f>
        <v>-3.9004000000000261E-3</v>
      </c>
      <c r="E763" s="4">
        <v>-4.0000000000000001E-3</v>
      </c>
      <c r="F763" s="4">
        <f t="shared" si="456"/>
        <v>4.8384986740564573E-2</v>
      </c>
      <c r="G763" s="40">
        <f t="shared" si="452"/>
        <v>104.83849867405645</v>
      </c>
      <c r="H763" s="36">
        <f>(1+I761)*(1+I762)*(1+I763)-1</f>
        <v>-2.3037399999998875E-3</v>
      </c>
      <c r="I763" s="4">
        <v>-3.3999999999999998E-3</v>
      </c>
      <c r="J763" s="4">
        <f t="shared" si="458"/>
        <v>7.8742723766120459E-2</v>
      </c>
      <c r="K763" s="40">
        <f t="shared" si="454"/>
        <v>107.8742723766121</v>
      </c>
      <c r="L763" s="36">
        <f>(1+M761)*(1+M762)*(1+M763)-1</f>
        <v>1.7884852621999903E-2</v>
      </c>
      <c r="M763" s="4">
        <v>8.9999999999999998E-4</v>
      </c>
      <c r="N763" s="4">
        <f t="shared" si="459"/>
        <v>0.12764335416652672</v>
      </c>
      <c r="O763" s="40">
        <f t="shared" si="455"/>
        <v>112.76433541665263</v>
      </c>
    </row>
    <row r="764" spans="1:15" ht="13.5" x14ac:dyDescent="0.25">
      <c r="A764" s="2">
        <v>42035</v>
      </c>
      <c r="B764" s="49">
        <v>2584667.4900000002</v>
      </c>
      <c r="C764" s="6">
        <v>5</v>
      </c>
      <c r="D764" s="37"/>
      <c r="E764" s="4">
        <v>1.5E-3</v>
      </c>
      <c r="F764" s="4">
        <f t="shared" si="456"/>
        <v>4.9957564220675543E-2</v>
      </c>
      <c r="G764" s="40">
        <f t="shared" si="452"/>
        <v>104.99575642206754</v>
      </c>
      <c r="H764" s="37"/>
      <c r="I764" s="4">
        <v>2.3999999999999998E-3</v>
      </c>
      <c r="J764" s="4">
        <f t="shared" si="458"/>
        <v>8.1331706303159113E-2</v>
      </c>
      <c r="K764" s="40">
        <f t="shared" si="454"/>
        <v>108.13317063031596</v>
      </c>
      <c r="L764" s="37"/>
      <c r="M764" s="4">
        <v>2.1000000000000001E-2</v>
      </c>
      <c r="N764" s="4">
        <f t="shared" ref="N764:N769" si="460">(N763+1)*(M764+1)-1</f>
        <v>0.15132386460402358</v>
      </c>
      <c r="O764" s="40">
        <f t="shared" si="455"/>
        <v>115.13238646040232</v>
      </c>
    </row>
    <row r="765" spans="1:15" ht="13.5" x14ac:dyDescent="0.25">
      <c r="A765" s="2">
        <v>42063</v>
      </c>
      <c r="B765" s="49">
        <v>2589920.16</v>
      </c>
      <c r="C765" s="6">
        <v>5</v>
      </c>
      <c r="D765" s="37"/>
      <c r="E765" s="4">
        <v>2E-3</v>
      </c>
      <c r="F765" s="4">
        <f t="shared" si="456"/>
        <v>5.2057479349116864E-2</v>
      </c>
      <c r="G765" s="40">
        <f t="shared" si="452"/>
        <v>105.20574793491168</v>
      </c>
      <c r="H765" s="37"/>
      <c r="I765" s="4">
        <v>2E-3</v>
      </c>
      <c r="J765" s="4">
        <f t="shared" si="458"/>
        <v>8.3494369715765515E-2</v>
      </c>
      <c r="K765" s="40">
        <f t="shared" si="454"/>
        <v>108.34943697157659</v>
      </c>
      <c r="L765" s="37"/>
      <c r="M765" s="4">
        <v>-9.4000000000000004E-3</v>
      </c>
      <c r="N765" s="4">
        <f t="shared" si="460"/>
        <v>0.14050142027674584</v>
      </c>
      <c r="O765" s="40">
        <f t="shared" si="455"/>
        <v>114.05014202767454</v>
      </c>
    </row>
    <row r="766" spans="1:15" ht="13.5" x14ac:dyDescent="0.25">
      <c r="A766" s="2">
        <v>42094</v>
      </c>
      <c r="B766" s="49">
        <v>2588782.14</v>
      </c>
      <c r="C766" s="6">
        <v>5</v>
      </c>
      <c r="D766" s="36">
        <f>(1+E764)*(1+E765)*(1+E766)-1</f>
        <v>3.1015988000000494E-3</v>
      </c>
      <c r="E766" s="4">
        <v>-4.0000000000000002E-4</v>
      </c>
      <c r="F766" s="4">
        <f t="shared" si="456"/>
        <v>5.1636656357377353E-2</v>
      </c>
      <c r="G766" s="40">
        <f t="shared" si="452"/>
        <v>105.16366563573773</v>
      </c>
      <c r="H766" s="36">
        <f>(1+I764)*(1+I765)*(1+I766)-1</f>
        <v>4.6056809599999138E-3</v>
      </c>
      <c r="I766" s="4">
        <v>2.0000000000000001E-4</v>
      </c>
      <c r="J766" s="4">
        <f t="shared" si="458"/>
        <v>8.371106858970867E-2</v>
      </c>
      <c r="K766" s="40">
        <f t="shared" si="454"/>
        <v>108.3711068589709</v>
      </c>
      <c r="L766" s="36">
        <f>(1+M764)*(1+M765)*(1+M766)-1</f>
        <v>1.6055051960000011E-2</v>
      </c>
      <c r="M766" s="4">
        <v>4.5999999999999999E-3</v>
      </c>
      <c r="N766" s="4">
        <f t="shared" si="460"/>
        <v>0.14574772681001869</v>
      </c>
      <c r="O766" s="40">
        <f t="shared" si="455"/>
        <v>114.57477268100183</v>
      </c>
    </row>
    <row r="767" spans="1:15" ht="13.5" x14ac:dyDescent="0.25">
      <c r="A767" s="2">
        <v>42124</v>
      </c>
      <c r="B767" s="49">
        <v>2519794.94</v>
      </c>
      <c r="C767" s="6">
        <v>5</v>
      </c>
      <c r="D767" s="37"/>
      <c r="E767" s="4">
        <v>2.3E-3</v>
      </c>
      <c r="F767" s="4">
        <f t="shared" si="456"/>
        <v>5.4055420666999199E-2</v>
      </c>
      <c r="G767" s="40">
        <f t="shared" si="452"/>
        <v>105.40554206669992</v>
      </c>
      <c r="H767" s="37"/>
      <c r="I767" s="4">
        <v>3.3E-3</v>
      </c>
      <c r="J767" s="4">
        <f t="shared" si="458"/>
        <v>8.7287315116054698E-2</v>
      </c>
      <c r="K767" s="40">
        <f t="shared" si="454"/>
        <v>108.72873151160552</v>
      </c>
      <c r="L767" s="37"/>
      <c r="M767" s="4">
        <v>-3.5999999999999999E-3</v>
      </c>
      <c r="N767" s="4">
        <f t="shared" si="460"/>
        <v>0.14162303499350259</v>
      </c>
      <c r="O767" s="40">
        <f t="shared" si="455"/>
        <v>114.16230349935022</v>
      </c>
    </row>
    <row r="768" spans="1:15" ht="13.5" x14ac:dyDescent="0.25">
      <c r="A768" s="2">
        <v>42155</v>
      </c>
      <c r="B768" s="49">
        <v>2511218.62</v>
      </c>
      <c r="C768" s="6">
        <v>5</v>
      </c>
      <c r="D768" s="37"/>
      <c r="E768" s="4">
        <v>-2.7000000000000001E-3</v>
      </c>
      <c r="F768" s="4">
        <f t="shared" si="456"/>
        <v>5.1209471031198328E-2</v>
      </c>
      <c r="G768" s="40">
        <f t="shared" si="452"/>
        <v>105.12094710311983</v>
      </c>
      <c r="H768" s="37"/>
      <c r="I768" s="4">
        <v>-2.7000000000000001E-3</v>
      </c>
      <c r="J768" s="4">
        <f t="shared" si="458"/>
        <v>8.435163936524126E-2</v>
      </c>
      <c r="K768" s="40">
        <f t="shared" si="454"/>
        <v>108.43516393652418</v>
      </c>
      <c r="L768" s="37"/>
      <c r="M768" s="4">
        <v>-2.3999999999999998E-3</v>
      </c>
      <c r="N768" s="4">
        <f t="shared" si="460"/>
        <v>0.13888313970951827</v>
      </c>
      <c r="O768" s="40">
        <f t="shared" si="455"/>
        <v>113.88831397095178</v>
      </c>
    </row>
    <row r="769" spans="1:15" ht="13.5" x14ac:dyDescent="0.25">
      <c r="A769" s="2">
        <v>42185</v>
      </c>
      <c r="B769" s="49">
        <v>2228051.19</v>
      </c>
      <c r="C769" s="6">
        <v>4</v>
      </c>
      <c r="D769" s="36">
        <f>(1+E767)*(1+E768)*(1+E769)-1</f>
        <v>-5.1043008130000622E-3</v>
      </c>
      <c r="E769" s="4">
        <v>-4.7000000000000002E-3</v>
      </c>
      <c r="F769" s="4">
        <f t="shared" si="456"/>
        <v>4.6268786517351668E-2</v>
      </c>
      <c r="G769" s="40">
        <f t="shared" si="452"/>
        <v>104.62687865173517</v>
      </c>
      <c r="H769" s="36">
        <f>(1+I767)*(1+I768)*(1+I769)-1</f>
        <v>-3.5113334689998998E-3</v>
      </c>
      <c r="I769" s="4">
        <v>-4.1000000000000003E-3</v>
      </c>
      <c r="J769" s="4">
        <f t="shared" si="458"/>
        <v>7.9905797643843757E-2</v>
      </c>
      <c r="K769" s="40">
        <f t="shared" si="454"/>
        <v>107.99057976438444</v>
      </c>
      <c r="L769" s="36">
        <f>(1+M767)*(1+M768)*(1+M769)-1</f>
        <v>-1.6826054176000027E-2</v>
      </c>
      <c r="M769" s="4">
        <v>-1.09E-2</v>
      </c>
      <c r="N769" s="4">
        <f t="shared" si="460"/>
        <v>0.12646931348668455</v>
      </c>
      <c r="O769" s="40">
        <f t="shared" si="455"/>
        <v>112.6469313486684</v>
      </c>
    </row>
    <row r="770" spans="1:15" ht="13.5" x14ac:dyDescent="0.25">
      <c r="A770" s="2">
        <v>42216</v>
      </c>
      <c r="B770" s="49">
        <v>2225467.7200000002</v>
      </c>
      <c r="C770" s="6">
        <v>4</v>
      </c>
      <c r="D770" s="37"/>
      <c r="E770" s="4">
        <v>-1.1000000000000001E-3</v>
      </c>
      <c r="F770" s="4">
        <f t="shared" si="456"/>
        <v>4.5117890852182541E-2</v>
      </c>
      <c r="G770" s="40">
        <f t="shared" si="452"/>
        <v>104.51178908521825</v>
      </c>
      <c r="H770" s="37"/>
      <c r="I770" s="4">
        <v>0</v>
      </c>
      <c r="J770" s="4">
        <f t="shared" si="458"/>
        <v>7.9905797643843757E-2</v>
      </c>
      <c r="K770" s="40">
        <f t="shared" si="454"/>
        <v>107.99057976438444</v>
      </c>
      <c r="L770" s="37"/>
      <c r="M770" s="4">
        <v>7.0000000000000001E-3</v>
      </c>
      <c r="N770" s="4">
        <f t="shared" ref="N770:N775" si="461">(N769+1)*(M770+1)-1</f>
        <v>0.13435459868109123</v>
      </c>
      <c r="O770" s="40">
        <f t="shared" si="455"/>
        <v>113.43545986810906</v>
      </c>
    </row>
    <row r="771" spans="1:15" ht="13.5" x14ac:dyDescent="0.25">
      <c r="A771" s="2">
        <v>42247</v>
      </c>
      <c r="B771" s="49">
        <v>2220499.6800000002</v>
      </c>
      <c r="C771" s="6">
        <v>4</v>
      </c>
      <c r="D771" s="37"/>
      <c r="E771" s="4">
        <v>-2.3E-3</v>
      </c>
      <c r="F771" s="4">
        <f t="shared" si="456"/>
        <v>4.2714119703222586E-2</v>
      </c>
      <c r="G771" s="40">
        <f t="shared" si="452"/>
        <v>104.27141197032226</v>
      </c>
      <c r="H771" s="37"/>
      <c r="I771" s="4">
        <v>-2.3E-3</v>
      </c>
      <c r="J771" s="4">
        <f t="shared" si="458"/>
        <v>7.7422014309262988E-2</v>
      </c>
      <c r="K771" s="40">
        <f t="shared" si="454"/>
        <v>107.74220143092636</v>
      </c>
      <c r="L771" s="37"/>
      <c r="M771" s="4">
        <v>-1.4E-3</v>
      </c>
      <c r="N771" s="4">
        <f t="shared" si="461"/>
        <v>0.13276650224293784</v>
      </c>
      <c r="O771" s="40">
        <f t="shared" si="455"/>
        <v>113.27665022429372</v>
      </c>
    </row>
    <row r="772" spans="1:15" ht="13.5" x14ac:dyDescent="0.25">
      <c r="A772" s="2">
        <v>42277</v>
      </c>
      <c r="B772" s="49">
        <v>2060938.67</v>
      </c>
      <c r="C772" s="6">
        <v>3</v>
      </c>
      <c r="D772" s="36">
        <f>(1+E770)*(1+E771)*(1+E772)-1</f>
        <v>-2.9988289880000796E-3</v>
      </c>
      <c r="E772" s="4">
        <v>4.0000000000000002E-4</v>
      </c>
      <c r="F772" s="4">
        <f t="shared" si="456"/>
        <v>4.313120535110393E-2</v>
      </c>
      <c r="G772" s="40">
        <f t="shared" si="452"/>
        <v>104.31312053511039</v>
      </c>
      <c r="H772" s="36">
        <f>(1+I770)*(1+I771)*(1+I772)-1</f>
        <v>-1.1027599999998694E-3</v>
      </c>
      <c r="I772" s="4">
        <v>1.1999999999999999E-3</v>
      </c>
      <c r="J772" s="4">
        <f t="shared" si="458"/>
        <v>7.8714920726434157E-2</v>
      </c>
      <c r="K772" s="40">
        <f t="shared" si="454"/>
        <v>107.87149207264348</v>
      </c>
      <c r="L772" s="36">
        <f>(1+M770)*(1+M771)*(1+M772)-1</f>
        <v>1.2428213359999774E-2</v>
      </c>
      <c r="M772" s="4">
        <v>6.7999999999999996E-3</v>
      </c>
      <c r="N772" s="4">
        <f t="shared" si="461"/>
        <v>0.14046931445818966</v>
      </c>
      <c r="O772" s="40">
        <f t="shared" si="455"/>
        <v>114.0469314458189</v>
      </c>
    </row>
    <row r="773" spans="1:15" ht="13.5" x14ac:dyDescent="0.25">
      <c r="A773" s="2">
        <v>42308</v>
      </c>
      <c r="B773" s="49">
        <v>2069601.49</v>
      </c>
      <c r="C773" s="6">
        <v>3</v>
      </c>
      <c r="D773" s="37"/>
      <c r="E773" s="4">
        <v>4.1999999999999997E-3</v>
      </c>
      <c r="F773" s="4">
        <f t="shared" si="456"/>
        <v>4.7512356413578649E-2</v>
      </c>
      <c r="G773" s="40">
        <f t="shared" si="452"/>
        <v>104.75123564135785</v>
      </c>
      <c r="H773" s="37"/>
      <c r="I773" s="4">
        <v>5.3E-3</v>
      </c>
      <c r="J773" s="4">
        <f t="shared" si="458"/>
        <v>8.443210980628435E-2</v>
      </c>
      <c r="K773" s="40">
        <f t="shared" si="454"/>
        <v>108.44321098062849</v>
      </c>
      <c r="L773" s="37"/>
      <c r="M773" s="4">
        <v>2.0000000000000001E-4</v>
      </c>
      <c r="N773" s="4">
        <f t="shared" si="461"/>
        <v>0.14069740832108124</v>
      </c>
      <c r="O773" s="40">
        <f t="shared" si="455"/>
        <v>114.06974083210807</v>
      </c>
    </row>
    <row r="774" spans="1:15" ht="13.5" x14ac:dyDescent="0.25">
      <c r="A774" s="2">
        <v>42338</v>
      </c>
      <c r="B774" s="49">
        <v>2064767.83</v>
      </c>
      <c r="C774" s="6">
        <v>3</v>
      </c>
      <c r="D774" s="37"/>
      <c r="E774" s="4">
        <v>-2.3E-3</v>
      </c>
      <c r="F774" s="4">
        <f t="shared" si="456"/>
        <v>4.5103077993827512E-2</v>
      </c>
      <c r="G774" s="40">
        <f t="shared" si="452"/>
        <v>104.51030779938273</v>
      </c>
      <c r="H774" s="37"/>
      <c r="I774" s="4">
        <v>-2.3E-3</v>
      </c>
      <c r="J774" s="4">
        <f t="shared" si="458"/>
        <v>8.1937915953729901E-2</v>
      </c>
      <c r="K774" s="40">
        <f t="shared" si="454"/>
        <v>108.19379159537306</v>
      </c>
      <c r="L774" s="37"/>
      <c r="M774" s="4">
        <v>-2.5999999999999999E-3</v>
      </c>
      <c r="N774" s="4">
        <f t="shared" si="461"/>
        <v>0.13773159505944643</v>
      </c>
      <c r="O774" s="40">
        <f t="shared" si="455"/>
        <v>113.77315950594458</v>
      </c>
    </row>
    <row r="775" spans="1:15" ht="13.5" x14ac:dyDescent="0.25">
      <c r="A775" s="2">
        <v>42369</v>
      </c>
      <c r="B775" s="49">
        <v>1982857.67</v>
      </c>
      <c r="C775" s="6">
        <v>3</v>
      </c>
      <c r="D775" s="36">
        <f>(1+E773)*(1+E774)*(1+E775)-1</f>
        <v>9.8863869400012128E-4</v>
      </c>
      <c r="E775" s="4">
        <v>-8.9999999999999998E-4</v>
      </c>
      <c r="F775" s="4">
        <f t="shared" si="456"/>
        <v>4.4162485223633086E-2</v>
      </c>
      <c r="G775" s="40">
        <f t="shared" si="452"/>
        <v>104.41624852236329</v>
      </c>
      <c r="H775" s="36">
        <f>(1+I773)*(1+I774)*(1+I775)-1</f>
        <v>2.787212437999953E-3</v>
      </c>
      <c r="I775" s="4">
        <v>-2.0000000000000001E-4</v>
      </c>
      <c r="J775" s="4">
        <f t="shared" si="458"/>
        <v>8.1721528370539254E-2</v>
      </c>
      <c r="K775" s="40">
        <f t="shared" si="454"/>
        <v>108.17215283705399</v>
      </c>
      <c r="L775" s="36">
        <f>(1+M773)*(1+M774)*(1+M775)-1</f>
        <v>-5.5928383359999945E-3</v>
      </c>
      <c r="M775" s="4">
        <v>-3.2000000000000002E-3</v>
      </c>
      <c r="N775" s="4">
        <f t="shared" si="461"/>
        <v>0.13409085395525633</v>
      </c>
      <c r="O775" s="40">
        <f t="shared" si="455"/>
        <v>113.40908539552555</v>
      </c>
    </row>
    <row r="776" spans="1:15" ht="13.5" x14ac:dyDescent="0.25">
      <c r="A776" s="2">
        <v>42400</v>
      </c>
      <c r="B776" s="49">
        <v>1982672.57</v>
      </c>
      <c r="C776" s="6">
        <v>3</v>
      </c>
      <c r="D776" s="37"/>
      <c r="E776" s="4">
        <v>-1E-4</v>
      </c>
      <c r="F776" s="4">
        <f t="shared" si="456"/>
        <v>4.4058068975110665E-2</v>
      </c>
      <c r="G776" s="40">
        <f t="shared" si="452"/>
        <v>104.40580689751106</v>
      </c>
      <c r="H776" s="37"/>
      <c r="I776" s="4">
        <v>8.9999999999999998E-4</v>
      </c>
      <c r="J776" s="4">
        <f t="shared" si="458"/>
        <v>8.2695077746072654E-2</v>
      </c>
      <c r="K776" s="40">
        <f t="shared" si="454"/>
        <v>108.26950777460732</v>
      </c>
      <c r="L776" s="37"/>
      <c r="M776" s="4">
        <v>1.38E-2</v>
      </c>
      <c r="N776" s="4">
        <f t="shared" ref="N776:N781" si="462">(N775+1)*(M776+1)-1</f>
        <v>0.14974130773983885</v>
      </c>
      <c r="O776" s="40">
        <f t="shared" si="455"/>
        <v>114.9741307739838</v>
      </c>
    </row>
    <row r="777" spans="1:15" ht="13.5" x14ac:dyDescent="0.25">
      <c r="A777" s="2">
        <v>42429</v>
      </c>
      <c r="B777" s="49">
        <v>1985999.04</v>
      </c>
      <c r="C777" s="6">
        <v>3</v>
      </c>
      <c r="D777" s="37"/>
      <c r="E777" s="4">
        <v>1.6999999999999999E-3</v>
      </c>
      <c r="F777" s="4">
        <f t="shared" si="456"/>
        <v>4.5832967692368332E-2</v>
      </c>
      <c r="G777" s="40">
        <f t="shared" si="452"/>
        <v>104.58329676923682</v>
      </c>
      <c r="H777" s="37"/>
      <c r="I777" s="4">
        <v>1.6999999999999999E-3</v>
      </c>
      <c r="J777" s="4">
        <f t="shared" si="458"/>
        <v>8.4535659378240924E-2</v>
      </c>
      <c r="K777" s="40">
        <f t="shared" si="454"/>
        <v>108.45356593782415</v>
      </c>
      <c r="L777" s="37"/>
      <c r="M777" s="4">
        <v>7.1000000000000004E-3</v>
      </c>
      <c r="N777" s="4">
        <f t="shared" si="462"/>
        <v>0.15790447102479188</v>
      </c>
      <c r="O777" s="40">
        <f t="shared" si="455"/>
        <v>115.79044710247909</v>
      </c>
    </row>
    <row r="778" spans="1:15" ht="13.5" x14ac:dyDescent="0.25">
      <c r="A778" s="2">
        <v>42460</v>
      </c>
      <c r="B778" s="49">
        <v>1955899.49</v>
      </c>
      <c r="C778" s="6">
        <v>3</v>
      </c>
      <c r="D778" s="36">
        <f>(1+E776)*(1+E777)*(1+E778)-1</f>
        <v>1.4520467806999893E-2</v>
      </c>
      <c r="E778" s="4">
        <v>1.29E-2</v>
      </c>
      <c r="F778" s="4">
        <f t="shared" si="456"/>
        <v>5.9324212975599755E-2</v>
      </c>
      <c r="G778" s="40">
        <f t="shared" si="452"/>
        <v>105.93242129755997</v>
      </c>
      <c r="H778" s="36">
        <f>(1+I776)*(1+I777)*(1+I778)-1</f>
        <v>1.6337170961000069E-2</v>
      </c>
      <c r="I778" s="4">
        <v>1.37E-2</v>
      </c>
      <c r="J778" s="4">
        <f t="shared" si="458"/>
        <v>9.9393797911722981E-2</v>
      </c>
      <c r="K778" s="40">
        <f t="shared" si="454"/>
        <v>109.93937979117234</v>
      </c>
      <c r="L778" s="36">
        <f>(1+M776)*(1+M777)*(1+M778)-1</f>
        <v>3.0391161416000401E-2</v>
      </c>
      <c r="M778" s="4">
        <v>9.1999999999999998E-3</v>
      </c>
      <c r="N778" s="4">
        <f t="shared" si="462"/>
        <v>0.16855719215822007</v>
      </c>
      <c r="O778" s="40">
        <f t="shared" si="455"/>
        <v>116.85571921582191</v>
      </c>
    </row>
    <row r="779" spans="1:15" ht="13.5" x14ac:dyDescent="0.25">
      <c r="A779" s="2">
        <v>42490</v>
      </c>
      <c r="B779" s="49">
        <v>1963983.72</v>
      </c>
      <c r="C779" s="6">
        <v>3</v>
      </c>
      <c r="D779" s="37"/>
      <c r="E779" s="4">
        <v>4.1000000000000003E-3</v>
      </c>
      <c r="F779" s="4">
        <f t="shared" si="456"/>
        <v>6.3667442248799722E-2</v>
      </c>
      <c r="G779" s="40">
        <f t="shared" si="452"/>
        <v>106.36674422487997</v>
      </c>
      <c r="H779" s="37"/>
      <c r="I779" s="4">
        <v>5.1000000000000004E-3</v>
      </c>
      <c r="J779" s="4">
        <f t="shared" si="458"/>
        <v>0.10500070628107294</v>
      </c>
      <c r="K779" s="40">
        <f t="shared" si="454"/>
        <v>110.50007062810734</v>
      </c>
      <c r="L779" s="37"/>
      <c r="M779" s="4">
        <v>3.8E-3</v>
      </c>
      <c r="N779" s="4">
        <f t="shared" si="462"/>
        <v>0.17299770948842141</v>
      </c>
      <c r="O779" s="40">
        <f t="shared" si="455"/>
        <v>117.29977094884204</v>
      </c>
    </row>
    <row r="780" spans="1:15" ht="13.5" x14ac:dyDescent="0.25">
      <c r="A780" s="2">
        <v>42521</v>
      </c>
      <c r="B780" s="49">
        <v>1782404.85</v>
      </c>
      <c r="C780" s="6">
        <v>3</v>
      </c>
      <c r="D780" s="37"/>
      <c r="E780" s="4">
        <v>-6.9999999999999999E-4</v>
      </c>
      <c r="F780" s="4">
        <f t="shared" si="456"/>
        <v>6.2922875039225445E-2</v>
      </c>
      <c r="G780" s="40">
        <f t="shared" si="452"/>
        <v>106.29228750392255</v>
      </c>
      <c r="H780" s="37"/>
      <c r="I780" s="4">
        <v>-6.9999999999999999E-4</v>
      </c>
      <c r="J780" s="4">
        <f t="shared" si="458"/>
        <v>0.10422720578667621</v>
      </c>
      <c r="K780" s="40">
        <f t="shared" si="454"/>
        <v>110.42272057866766</v>
      </c>
      <c r="L780" s="37"/>
      <c r="M780" s="4">
        <v>2.9999999999999997E-4</v>
      </c>
      <c r="N780" s="4">
        <f t="shared" si="462"/>
        <v>0.17334960880126782</v>
      </c>
      <c r="O780" s="40">
        <f t="shared" si="455"/>
        <v>117.33496088012669</v>
      </c>
    </row>
    <row r="781" spans="1:15" ht="13.5" x14ac:dyDescent="0.25">
      <c r="A781" s="2">
        <v>42551</v>
      </c>
      <c r="B781" s="49">
        <v>2061738.01</v>
      </c>
      <c r="C781" s="6">
        <v>3</v>
      </c>
      <c r="D781" s="36">
        <f>(1+E779)*(1+E780)*(1+E781)-1</f>
        <v>8.4141156499999425E-3</v>
      </c>
      <c r="E781" s="4">
        <v>5.0000000000000001E-3</v>
      </c>
      <c r="F781" s="4">
        <f t="shared" si="456"/>
        <v>6.8237489414421537E-2</v>
      </c>
      <c r="G781" s="40">
        <f t="shared" si="452"/>
        <v>106.82374894144215</v>
      </c>
      <c r="H781" s="36">
        <f>(1+I779)*(1+I780)*(1+I781)-1</f>
        <v>1.0221929294000232E-2</v>
      </c>
      <c r="I781" s="4">
        <v>5.7999999999999996E-3</v>
      </c>
      <c r="J781" s="4">
        <f t="shared" si="458"/>
        <v>0.11063172358023898</v>
      </c>
      <c r="K781" s="40">
        <f t="shared" si="454"/>
        <v>111.06317235802393</v>
      </c>
      <c r="L781" s="36">
        <f>(1+M779)*(1+M780)*(1+M781)-1</f>
        <v>2.2174960519999898E-2</v>
      </c>
      <c r="M781" s="4">
        <v>1.7999999999999999E-2</v>
      </c>
      <c r="N781" s="4">
        <f t="shared" si="462"/>
        <v>0.1944699017596907</v>
      </c>
      <c r="O781" s="40">
        <f t="shared" si="455"/>
        <v>119.44699017596896</v>
      </c>
    </row>
    <row r="782" spans="1:15" ht="13.5" x14ac:dyDescent="0.25">
      <c r="A782" s="2">
        <v>42582</v>
      </c>
      <c r="B782" s="49">
        <v>2070826.67</v>
      </c>
      <c r="C782" s="6">
        <v>3</v>
      </c>
      <c r="D782" s="37"/>
      <c r="E782" s="4">
        <v>4.4000000000000003E-3</v>
      </c>
      <c r="F782" s="4">
        <f t="shared" si="456"/>
        <v>7.2937734367845009E-2</v>
      </c>
      <c r="G782" s="40">
        <f t="shared" si="452"/>
        <v>107.29377343678449</v>
      </c>
      <c r="H782" s="37"/>
      <c r="I782" s="4">
        <v>5.4999999999999997E-3</v>
      </c>
      <c r="J782" s="4">
        <f t="shared" si="458"/>
        <v>0.1167401980599303</v>
      </c>
      <c r="K782" s="40">
        <f t="shared" si="454"/>
        <v>111.67401980599307</v>
      </c>
      <c r="L782" s="37"/>
      <c r="M782" s="4">
        <v>6.3E-3</v>
      </c>
      <c r="N782" s="4">
        <f t="shared" ref="N782:N787" si="463">(N781+1)*(M782+1)-1</f>
        <v>0.20199506214077667</v>
      </c>
      <c r="O782" s="40">
        <f t="shared" si="455"/>
        <v>120.19950621407756</v>
      </c>
    </row>
    <row r="783" spans="1:15" ht="13.5" x14ac:dyDescent="0.25">
      <c r="A783" s="2">
        <v>42613</v>
      </c>
      <c r="B783" s="49">
        <v>2078802.28</v>
      </c>
      <c r="C783" s="6">
        <v>3</v>
      </c>
      <c r="D783" s="37"/>
      <c r="E783" s="4">
        <v>3.8999999999999998E-3</v>
      </c>
      <c r="F783" s="4">
        <f t="shared" si="456"/>
        <v>7.7122191531879603E-2</v>
      </c>
      <c r="G783" s="40">
        <f t="shared" si="452"/>
        <v>107.71221915318795</v>
      </c>
      <c r="H783" s="37"/>
      <c r="I783" s="4">
        <v>3.8999999999999998E-3</v>
      </c>
      <c r="J783" s="4">
        <f t="shared" si="458"/>
        <v>0.12109548483236399</v>
      </c>
      <c r="K783" s="40">
        <f t="shared" si="454"/>
        <v>112.10954848323644</v>
      </c>
      <c r="L783" s="37"/>
      <c r="M783" s="4">
        <v>-1.1000000000000001E-3</v>
      </c>
      <c r="N783" s="4">
        <f t="shared" si="463"/>
        <v>0.20067286757242186</v>
      </c>
      <c r="O783" s="40">
        <f t="shared" si="455"/>
        <v>120.06728675724207</v>
      </c>
    </row>
    <row r="784" spans="1:15" ht="13.5" x14ac:dyDescent="0.25">
      <c r="A784" s="2">
        <v>42643</v>
      </c>
      <c r="B784" s="49">
        <v>2072637.63</v>
      </c>
      <c r="C784" s="6">
        <v>3</v>
      </c>
      <c r="D784" s="36">
        <f>(1+E782)*(1+E783)*(1+E784)-1</f>
        <v>5.292208520000008E-3</v>
      </c>
      <c r="E784" s="4">
        <v>-3.0000000000000001E-3</v>
      </c>
      <c r="F784" s="4">
        <f t="shared" si="456"/>
        <v>7.3890824957284051E-2</v>
      </c>
      <c r="G784" s="40">
        <f t="shared" si="452"/>
        <v>107.38908249572837</v>
      </c>
      <c r="H784" s="36">
        <f>(1+I782)*(1+I783)*(1+I784)-1</f>
        <v>7.099780665000166E-3</v>
      </c>
      <c r="I784" s="4">
        <v>-2.3E-3</v>
      </c>
      <c r="J784" s="4">
        <f t="shared" si="458"/>
        <v>0.11851696521724953</v>
      </c>
      <c r="K784" s="40">
        <f t="shared" si="454"/>
        <v>111.851696521725</v>
      </c>
      <c r="L784" s="36">
        <f>(1+M782)*(1+M783)*(1+M784)-1</f>
        <v>4.5899541579998981E-3</v>
      </c>
      <c r="M784" s="4">
        <v>-5.9999999999999995E-4</v>
      </c>
      <c r="N784" s="4">
        <f t="shared" si="463"/>
        <v>0.19995246385187837</v>
      </c>
      <c r="O784" s="40">
        <f t="shared" si="455"/>
        <v>119.99524638518773</v>
      </c>
    </row>
    <row r="785" spans="1:15" ht="13.5" x14ac:dyDescent="0.25">
      <c r="A785" s="2">
        <v>42674</v>
      </c>
      <c r="B785" s="49">
        <v>2065387.72</v>
      </c>
      <c r="C785" s="6">
        <v>3</v>
      </c>
      <c r="D785" s="37"/>
      <c r="E785" s="4">
        <v>-3.5000000000000001E-3</v>
      </c>
      <c r="F785" s="4">
        <f t="shared" si="456"/>
        <v>7.0132207069933505E-2</v>
      </c>
      <c r="G785" s="40">
        <f t="shared" si="452"/>
        <v>107.01322070699334</v>
      </c>
      <c r="H785" s="37"/>
      <c r="I785" s="4">
        <v>-2.3999999999999998E-3</v>
      </c>
      <c r="J785" s="4">
        <f t="shared" si="458"/>
        <v>0.11583252450072812</v>
      </c>
      <c r="K785" s="40">
        <f t="shared" si="454"/>
        <v>111.58325245007286</v>
      </c>
      <c r="L785" s="37"/>
      <c r="M785" s="4">
        <v>-7.7000000000000002E-3</v>
      </c>
      <c r="N785" s="4">
        <f t="shared" si="463"/>
        <v>0.19071282988021876</v>
      </c>
      <c r="O785" s="40">
        <f t="shared" si="455"/>
        <v>119.07128298802178</v>
      </c>
    </row>
    <row r="786" spans="1:15" ht="13.5" x14ac:dyDescent="0.25">
      <c r="A786" s="2">
        <v>42704</v>
      </c>
      <c r="B786" s="49">
        <v>1987016.13</v>
      </c>
      <c r="C786" s="6">
        <v>3</v>
      </c>
      <c r="D786" s="37"/>
      <c r="E786" s="4">
        <v>-4.4999999999999997E-3</v>
      </c>
      <c r="F786" s="4">
        <f t="shared" si="456"/>
        <v>6.531661213811879E-2</v>
      </c>
      <c r="G786" s="40">
        <f t="shared" si="452"/>
        <v>106.53166121381187</v>
      </c>
      <c r="H786" s="37"/>
      <c r="I786" s="4">
        <v>-4.4999999999999997E-3</v>
      </c>
      <c r="J786" s="4">
        <f t="shared" si="458"/>
        <v>0.11081127814047487</v>
      </c>
      <c r="K786" s="40">
        <f t="shared" si="454"/>
        <v>111.08112781404753</v>
      </c>
      <c r="L786" s="37"/>
      <c r="M786" s="4">
        <v>-2.3699999999999999E-2</v>
      </c>
      <c r="N786" s="4">
        <f t="shared" si="463"/>
        <v>0.16249293581205748</v>
      </c>
      <c r="O786" s="40">
        <f t="shared" si="455"/>
        <v>116.24929358120565</v>
      </c>
    </row>
    <row r="787" spans="1:15" ht="13.5" x14ac:dyDescent="0.25">
      <c r="A787" s="2">
        <v>42735</v>
      </c>
      <c r="B787" s="49">
        <v>1961520.84</v>
      </c>
      <c r="C787" s="6">
        <v>3</v>
      </c>
      <c r="D787" s="36">
        <f>(1+E785)*(1+E786)*(1+E787)-1</f>
        <v>-8.2818547249998709E-3</v>
      </c>
      <c r="E787" s="4">
        <v>-2.9999999999999997E-4</v>
      </c>
      <c r="F787" s="4">
        <f t="shared" si="456"/>
        <v>6.4997017154477366E-2</v>
      </c>
      <c r="G787" s="40">
        <f t="shared" si="452"/>
        <v>106.49970171544773</v>
      </c>
      <c r="H787" s="36">
        <f>(1+I785)*(1+I786)*(1+I787)-1</f>
        <v>-6.4919556799999389E-3</v>
      </c>
      <c r="I787" s="4">
        <v>4.0000000000000002E-4</v>
      </c>
      <c r="J787" s="4">
        <f t="shared" si="458"/>
        <v>0.11125560265173107</v>
      </c>
      <c r="K787" s="40">
        <f t="shared" si="454"/>
        <v>111.12556026517315</v>
      </c>
      <c r="L787" s="36">
        <f>(1+M785)*(1+M786)*(1+M787)-1</f>
        <v>-2.9861214514000034E-2</v>
      </c>
      <c r="M787" s="4">
        <v>1.4E-3</v>
      </c>
      <c r="N787" s="4">
        <f t="shared" si="463"/>
        <v>0.16412042592219445</v>
      </c>
      <c r="O787" s="40">
        <f t="shared" si="455"/>
        <v>116.41204259221935</v>
      </c>
    </row>
    <row r="788" spans="1:15" ht="13.5" x14ac:dyDescent="0.25">
      <c r="A788" s="2">
        <v>42766</v>
      </c>
      <c r="B788" s="49">
        <v>1969155.46</v>
      </c>
      <c r="C788" s="6">
        <v>3</v>
      </c>
      <c r="D788" s="37"/>
      <c r="E788" s="4">
        <v>3.8999999999999998E-3</v>
      </c>
      <c r="F788" s="4">
        <f t="shared" si="456"/>
        <v>6.9150505521379912E-2</v>
      </c>
      <c r="G788" s="40">
        <f t="shared" si="452"/>
        <v>106.91505055213797</v>
      </c>
      <c r="H788" s="37"/>
      <c r="I788" s="4">
        <v>5.0000000000000001E-3</v>
      </c>
      <c r="J788" s="4">
        <f t="shared" si="458"/>
        <v>0.1168118806649896</v>
      </c>
      <c r="K788" s="40">
        <f t="shared" si="454"/>
        <v>111.681188066499</v>
      </c>
      <c r="L788" s="37"/>
      <c r="M788" s="4">
        <v>2E-3</v>
      </c>
      <c r="N788" s="4">
        <f t="shared" ref="N788:N793" si="464">(N787+1)*(M788+1)-1</f>
        <v>0.1664486667740388</v>
      </c>
      <c r="O788" s="40">
        <f t="shared" si="455"/>
        <v>116.64486667740378</v>
      </c>
    </row>
    <row r="789" spans="1:15" ht="13.5" x14ac:dyDescent="0.25">
      <c r="A789" s="2">
        <v>42794</v>
      </c>
      <c r="B789" s="49">
        <v>1977859.75</v>
      </c>
      <c r="C789" s="6">
        <v>3</v>
      </c>
      <c r="D789" s="37"/>
      <c r="E789" s="4">
        <v>4.4000000000000003E-3</v>
      </c>
      <c r="F789" s="4">
        <f t="shared" si="456"/>
        <v>7.385476774567401E-2</v>
      </c>
      <c r="G789" s="40">
        <f t="shared" si="452"/>
        <v>107.38547677456738</v>
      </c>
      <c r="H789" s="37"/>
      <c r="I789" s="4">
        <v>4.4000000000000003E-3</v>
      </c>
      <c r="J789" s="4">
        <f t="shared" si="458"/>
        <v>0.12172585293991545</v>
      </c>
      <c r="K789" s="40">
        <f t="shared" si="454"/>
        <v>112.1725852939916</v>
      </c>
      <c r="L789" s="37"/>
      <c r="M789" s="4">
        <v>6.7000000000000002E-3</v>
      </c>
      <c r="N789" s="4">
        <f t="shared" si="464"/>
        <v>0.17426387284142475</v>
      </c>
      <c r="O789" s="40">
        <f t="shared" si="455"/>
        <v>117.42638728414238</v>
      </c>
    </row>
    <row r="790" spans="1:15" ht="13.5" x14ac:dyDescent="0.25">
      <c r="A790" s="2">
        <v>42825</v>
      </c>
      <c r="B790" s="49">
        <v>1977011.32</v>
      </c>
      <c r="C790" s="6">
        <v>3</v>
      </c>
      <c r="D790" s="36">
        <f>(1+E788)*(1+E789)*(1+E790)-1</f>
        <v>7.9138331360000258E-3</v>
      </c>
      <c r="E790" s="4">
        <v>-4.0000000000000002E-4</v>
      </c>
      <c r="F790" s="4">
        <f t="shared" si="456"/>
        <v>7.3425225838575692E-2</v>
      </c>
      <c r="G790" s="40">
        <f t="shared" si="452"/>
        <v>107.34252258385756</v>
      </c>
      <c r="H790" s="36">
        <f>(1+I788)*(1+I789)*(1+I790)-1</f>
        <v>9.7248265999998473E-3</v>
      </c>
      <c r="I790" s="4">
        <v>2.9999999999999997E-4</v>
      </c>
      <c r="J790" s="4">
        <f t="shared" si="458"/>
        <v>0.12206237069579728</v>
      </c>
      <c r="K790" s="40">
        <f t="shared" si="454"/>
        <v>112.2062370695798</v>
      </c>
      <c r="L790" s="36">
        <f>(1+M788)*(1+M789)*(1+M790)-1</f>
        <v>8.2090432999999408E-3</v>
      </c>
      <c r="M790" s="4">
        <v>-5.0000000000000001E-4</v>
      </c>
      <c r="N790" s="4">
        <f t="shared" si="464"/>
        <v>0.17367674090500418</v>
      </c>
      <c r="O790" s="40">
        <f t="shared" si="455"/>
        <v>117.36767409050032</v>
      </c>
    </row>
    <row r="791" spans="1:15" ht="13.5" x14ac:dyDescent="0.25">
      <c r="A791" s="2">
        <v>42855</v>
      </c>
      <c r="B791" s="49">
        <v>1980266.32</v>
      </c>
      <c r="C791" s="6">
        <v>3</v>
      </c>
      <c r="D791" s="37"/>
      <c r="E791" s="4">
        <v>1.6000000000000001E-3</v>
      </c>
      <c r="F791" s="4">
        <f t="shared" si="456"/>
        <v>7.5142706199917475E-2</v>
      </c>
      <c r="G791" s="40">
        <f t="shared" si="452"/>
        <v>107.51427061999173</v>
      </c>
      <c r="H791" s="37"/>
      <c r="I791" s="4">
        <v>2.7000000000000001E-3</v>
      </c>
      <c r="J791" s="4">
        <f t="shared" si="458"/>
        <v>0.12509193909667582</v>
      </c>
      <c r="K791" s="40">
        <f t="shared" si="454"/>
        <v>112.50919390966766</v>
      </c>
      <c r="L791" s="37"/>
      <c r="M791" s="4">
        <v>7.7000000000000002E-3</v>
      </c>
      <c r="N791" s="4">
        <f t="shared" si="464"/>
        <v>0.1827140518099728</v>
      </c>
      <c r="O791" s="40">
        <f t="shared" si="455"/>
        <v>118.27140518099718</v>
      </c>
    </row>
    <row r="792" spans="1:15" ht="13.5" x14ac:dyDescent="0.25">
      <c r="A792" s="2">
        <v>42886</v>
      </c>
      <c r="B792" s="49">
        <v>1983964.25</v>
      </c>
      <c r="C792" s="6">
        <v>3</v>
      </c>
      <c r="D792" s="37"/>
      <c r="E792" s="4">
        <v>1.9E-3</v>
      </c>
      <c r="F792" s="4">
        <f t="shared" si="456"/>
        <v>7.7185477341697339E-2</v>
      </c>
      <c r="G792" s="40">
        <f t="shared" si="452"/>
        <v>107.71854773416972</v>
      </c>
      <c r="H792" s="37"/>
      <c r="I792" s="4">
        <v>1.9E-3</v>
      </c>
      <c r="J792" s="4">
        <f t="shared" si="458"/>
        <v>0.12722961378095943</v>
      </c>
      <c r="K792" s="40">
        <f t="shared" si="454"/>
        <v>112.72296137809603</v>
      </c>
      <c r="L792" s="37"/>
      <c r="M792" s="4">
        <v>7.7000000000000002E-3</v>
      </c>
      <c r="N792" s="4">
        <f t="shared" si="464"/>
        <v>0.19182095000890964</v>
      </c>
      <c r="O792" s="40">
        <f t="shared" si="455"/>
        <v>119.18209500089085</v>
      </c>
    </row>
    <row r="793" spans="1:15" ht="13.5" x14ac:dyDescent="0.25">
      <c r="A793" s="2">
        <v>42916</v>
      </c>
      <c r="B793" s="49">
        <v>1984041.27</v>
      </c>
      <c r="C793" s="6">
        <v>3</v>
      </c>
      <c r="D793" s="36">
        <f>(1+E791)*(1+E792)*(1+E793)-1</f>
        <v>3.5030400000000128E-3</v>
      </c>
      <c r="E793" s="4">
        <v>0</v>
      </c>
      <c r="F793" s="4">
        <f t="shared" si="456"/>
        <v>7.7185477341697339E-2</v>
      </c>
      <c r="G793" s="40">
        <f t="shared" si="452"/>
        <v>107.71854773416972</v>
      </c>
      <c r="H793" s="36">
        <f>(1+I791)*(1+I792)*(1+I793)-1</f>
        <v>5.3083535909996815E-3</v>
      </c>
      <c r="I793" s="4">
        <v>6.9999999999999999E-4</v>
      </c>
      <c r="J793" s="4">
        <f t="shared" si="458"/>
        <v>0.128018674510606</v>
      </c>
      <c r="K793" s="40">
        <f t="shared" si="454"/>
        <v>112.80186745106069</v>
      </c>
      <c r="L793" s="36">
        <f>(1+M791)*(1+M792)*(1+M793)-1</f>
        <v>1.4443830710000105E-2</v>
      </c>
      <c r="M793" s="4">
        <v>-1E-3</v>
      </c>
      <c r="N793" s="4">
        <f t="shared" si="464"/>
        <v>0.19062912905890084</v>
      </c>
      <c r="O793" s="40">
        <f t="shared" si="455"/>
        <v>119.06291290588996</v>
      </c>
    </row>
    <row r="794" spans="1:15" ht="13.5" x14ac:dyDescent="0.25">
      <c r="A794" s="2">
        <v>42947</v>
      </c>
      <c r="B794" s="49">
        <v>1992402.48</v>
      </c>
      <c r="C794" s="6">
        <v>3</v>
      </c>
      <c r="D794" s="37"/>
      <c r="E794" s="4">
        <v>4.1999999999999997E-3</v>
      </c>
      <c r="F794" s="4">
        <f t="shared" si="456"/>
        <v>8.1709656346532489E-2</v>
      </c>
      <c r="G794" s="40">
        <f t="shared" si="452"/>
        <v>108.17096563465323</v>
      </c>
      <c r="H794" s="37"/>
      <c r="I794" s="4">
        <v>5.3E-3</v>
      </c>
      <c r="J794" s="4">
        <f t="shared" si="458"/>
        <v>0.13399717348551232</v>
      </c>
      <c r="K794" s="40">
        <f t="shared" si="454"/>
        <v>113.39971734855132</v>
      </c>
      <c r="L794" s="37"/>
      <c r="M794" s="4">
        <v>4.3E-3</v>
      </c>
      <c r="N794" s="4">
        <f t="shared" ref="N794:N799" si="465">(N793+1)*(M794+1)-1</f>
        <v>0.19574883431385404</v>
      </c>
      <c r="O794" s="40">
        <f t="shared" si="455"/>
        <v>119.57488343138529</v>
      </c>
    </row>
    <row r="795" spans="1:15" ht="13.5" x14ac:dyDescent="0.25">
      <c r="A795" s="2">
        <v>42978</v>
      </c>
      <c r="B795" s="49">
        <v>1997454.96</v>
      </c>
      <c r="C795" s="6">
        <v>3</v>
      </c>
      <c r="D795" s="37"/>
      <c r="E795" s="4">
        <v>2.5000000000000001E-3</v>
      </c>
      <c r="F795" s="4">
        <f t="shared" si="456"/>
        <v>8.4413930487398758E-2</v>
      </c>
      <c r="G795" s="40">
        <f t="shared" si="452"/>
        <v>108.44139304873985</v>
      </c>
      <c r="H795" s="37"/>
      <c r="I795" s="4">
        <v>2.5000000000000001E-3</v>
      </c>
      <c r="J795" s="4">
        <f t="shared" si="458"/>
        <v>0.13683216641922602</v>
      </c>
      <c r="K795" s="40">
        <f t="shared" si="454"/>
        <v>113.6832166419227</v>
      </c>
      <c r="L795" s="37"/>
      <c r="M795" s="4">
        <v>8.9999999999999993E-3</v>
      </c>
      <c r="N795" s="4">
        <f t="shared" si="465"/>
        <v>0.20651057382267868</v>
      </c>
      <c r="O795" s="40">
        <f t="shared" si="455"/>
        <v>120.65105738226774</v>
      </c>
    </row>
    <row r="796" spans="1:15" ht="13.5" x14ac:dyDescent="0.25">
      <c r="A796" s="2">
        <v>43008</v>
      </c>
      <c r="B796" s="49">
        <v>2000290.54</v>
      </c>
      <c r="C796" s="6">
        <v>3</v>
      </c>
      <c r="D796" s="36">
        <f>(1+E794)*(1+E795)*(1+E796)-1</f>
        <v>8.1198946999998523E-3</v>
      </c>
      <c r="E796" s="4">
        <v>1.4E-3</v>
      </c>
      <c r="F796" s="4">
        <f t="shared" si="456"/>
        <v>8.5932109990081162E-2</v>
      </c>
      <c r="G796" s="40">
        <f t="shared" si="452"/>
        <v>108.59321099900809</v>
      </c>
      <c r="H796" s="36">
        <f>(1+I794)*(1+I795)*(1+I796)-1</f>
        <v>9.9296578250001044E-3</v>
      </c>
      <c r="I796" s="4">
        <v>2.0999999999999999E-3</v>
      </c>
      <c r="J796" s="4">
        <f t="shared" si="458"/>
        <v>0.13921951396870647</v>
      </c>
      <c r="K796" s="40">
        <f t="shared" si="454"/>
        <v>113.92195139687074</v>
      </c>
      <c r="L796" s="36">
        <f>(1+M794)*(1+M795)*(1+M796)-1</f>
        <v>8.4746742399997022E-3</v>
      </c>
      <c r="M796" s="4">
        <v>-4.7999999999999996E-3</v>
      </c>
      <c r="N796" s="4">
        <f t="shared" si="465"/>
        <v>0.20071932306832974</v>
      </c>
      <c r="O796" s="40">
        <f t="shared" si="455"/>
        <v>120.07193230683285</v>
      </c>
    </row>
    <row r="797" spans="1:15" ht="13.5" x14ac:dyDescent="0.25">
      <c r="A797" s="2">
        <v>43039</v>
      </c>
      <c r="B797" s="49">
        <v>2112592.37</v>
      </c>
      <c r="C797" s="6">
        <v>4</v>
      </c>
      <c r="D797" s="37"/>
      <c r="E797" s="4">
        <v>-1.6000000000000001E-3</v>
      </c>
      <c r="F797" s="4">
        <f t="shared" si="456"/>
        <v>8.4194618614096939E-2</v>
      </c>
      <c r="G797" s="40">
        <f t="shared" si="452"/>
        <v>108.41946186140967</v>
      </c>
      <c r="H797" s="37"/>
      <c r="I797" s="4">
        <v>-5.9999999999999995E-4</v>
      </c>
      <c r="J797" s="4">
        <f t="shared" si="458"/>
        <v>0.13853598226032515</v>
      </c>
      <c r="K797" s="40">
        <f t="shared" si="454"/>
        <v>113.85359822603262</v>
      </c>
      <c r="L797" s="37"/>
      <c r="M797" s="4">
        <v>5.9999999999999995E-4</v>
      </c>
      <c r="N797" s="4">
        <f t="shared" si="465"/>
        <v>0.20143975466217068</v>
      </c>
      <c r="O797" s="40">
        <f t="shared" si="455"/>
        <v>120.14397546621694</v>
      </c>
    </row>
    <row r="798" spans="1:15" ht="13.5" x14ac:dyDescent="0.25">
      <c r="A798" s="2">
        <v>43069</v>
      </c>
      <c r="B798" s="49">
        <v>2027918.35</v>
      </c>
      <c r="C798" s="6">
        <v>4</v>
      </c>
      <c r="D798" s="37"/>
      <c r="E798" s="4">
        <v>-1.6999999999999999E-3</v>
      </c>
      <c r="F798" s="4">
        <f t="shared" si="456"/>
        <v>8.2351487762452935E-2</v>
      </c>
      <c r="G798" s="40">
        <f t="shared" si="452"/>
        <v>108.23514877624527</v>
      </c>
      <c r="H798" s="37"/>
      <c r="I798" s="4">
        <v>-1.6000000000000001E-3</v>
      </c>
      <c r="J798" s="4">
        <f t="shared" si="458"/>
        <v>0.13671432468870859</v>
      </c>
      <c r="K798" s="40">
        <f t="shared" si="454"/>
        <v>113.67143246887096</v>
      </c>
      <c r="L798" s="37"/>
      <c r="M798" s="4">
        <v>-1.2999999999999999E-3</v>
      </c>
      <c r="N798" s="4">
        <f t="shared" si="465"/>
        <v>0.19987788298110987</v>
      </c>
      <c r="O798" s="40">
        <f t="shared" si="455"/>
        <v>119.98778829811087</v>
      </c>
    </row>
    <row r="799" spans="1:15" ht="13.5" x14ac:dyDescent="0.25">
      <c r="A799" s="2">
        <v>43100</v>
      </c>
      <c r="B799" s="49">
        <v>2028931.34</v>
      </c>
      <c r="C799" s="6">
        <v>4</v>
      </c>
      <c r="D799" s="36">
        <f>(1+E797)*(1+E798)*(1+E799)-1</f>
        <v>-2.7989286400000868E-3</v>
      </c>
      <c r="E799" s="4">
        <v>5.0000000000000001E-4</v>
      </c>
      <c r="F799" s="4">
        <f t="shared" si="456"/>
        <v>8.2892663506334063E-2</v>
      </c>
      <c r="G799" s="40">
        <f t="shared" si="452"/>
        <v>108.28926635063338</v>
      </c>
      <c r="H799" s="36">
        <f>(1+I797)*(1+I798)*(1+I799)-1</f>
        <v>-1.1014589439999334E-3</v>
      </c>
      <c r="I799" s="4">
        <v>1.1000000000000001E-3</v>
      </c>
      <c r="J799" s="4">
        <f t="shared" si="458"/>
        <v>0.13796471044586633</v>
      </c>
      <c r="K799" s="40">
        <f t="shared" si="454"/>
        <v>113.79647104458672</v>
      </c>
      <c r="L799" s="36">
        <f>(1+M797)*(1+M798)*(1+M799)-1</f>
        <v>3.8959964119997803E-3</v>
      </c>
      <c r="M799" s="4">
        <v>4.5999999999999999E-3</v>
      </c>
      <c r="N799" s="4">
        <f t="shared" si="465"/>
        <v>0.20539732124282284</v>
      </c>
      <c r="O799" s="40">
        <f t="shared" si="455"/>
        <v>120.53973212428217</v>
      </c>
    </row>
    <row r="800" spans="1:15" ht="13.5" x14ac:dyDescent="0.25">
      <c r="A800" s="2">
        <v>43131</v>
      </c>
      <c r="B800" s="49">
        <v>2026289.02</v>
      </c>
      <c r="C800" s="6">
        <v>4</v>
      </c>
      <c r="D800" s="37"/>
      <c r="E800" s="4">
        <v>-1.2999999999999999E-3</v>
      </c>
      <c r="F800" s="4">
        <f t="shared" si="456"/>
        <v>8.1484903043775869E-2</v>
      </c>
      <c r="G800" s="40">
        <f t="shared" si="452"/>
        <v>108.14849030437756</v>
      </c>
      <c r="H800" s="37"/>
      <c r="I800" s="4">
        <v>-2.0000000000000001E-4</v>
      </c>
      <c r="J800" s="4">
        <f t="shared" si="458"/>
        <v>0.13773711750377715</v>
      </c>
      <c r="K800" s="40">
        <f t="shared" si="454"/>
        <v>113.77371175037781</v>
      </c>
      <c r="L800" s="37"/>
      <c r="M800" s="4">
        <v>-1.15E-2</v>
      </c>
      <c r="N800" s="4">
        <f t="shared" ref="N800:N808" si="466">(N799+1)*(M800+1)-1</f>
        <v>0.1915352520485305</v>
      </c>
      <c r="O800" s="40">
        <f t="shared" si="455"/>
        <v>119.15352520485293</v>
      </c>
    </row>
    <row r="801" spans="1:15" ht="13.5" x14ac:dyDescent="0.25">
      <c r="A801" s="2">
        <v>43159</v>
      </c>
      <c r="B801" s="49">
        <v>2019056.87</v>
      </c>
      <c r="C801" s="6">
        <v>4</v>
      </c>
      <c r="D801" s="37"/>
      <c r="E801" s="4">
        <v>-3.5999999999999999E-3</v>
      </c>
      <c r="F801" s="4">
        <f t="shared" si="456"/>
        <v>7.7591557392818311E-2</v>
      </c>
      <c r="G801" s="40">
        <f t="shared" si="452"/>
        <v>107.75915573928179</v>
      </c>
      <c r="H801" s="37"/>
      <c r="I801" s="4">
        <v>-3.3999999999999998E-3</v>
      </c>
      <c r="J801" s="4">
        <f t="shared" si="458"/>
        <v>0.13386881130426431</v>
      </c>
      <c r="K801" s="40">
        <f t="shared" si="454"/>
        <v>113.38688113042653</v>
      </c>
      <c r="L801" s="37"/>
      <c r="M801" s="4">
        <v>-9.4999999999999998E-3</v>
      </c>
      <c r="N801" s="4">
        <f t="shared" si="466"/>
        <v>0.18021566715406956</v>
      </c>
      <c r="O801" s="40">
        <f t="shared" si="455"/>
        <v>118.02156671540683</v>
      </c>
    </row>
    <row r="802" spans="1:15" ht="13.5" x14ac:dyDescent="0.25">
      <c r="A802" s="2">
        <v>43190</v>
      </c>
      <c r="B802" s="49">
        <v>2018830.46</v>
      </c>
      <c r="C802" s="6">
        <v>4</v>
      </c>
      <c r="D802" s="36">
        <f>(1+E800)*(1+E801)*(1+E802)-1</f>
        <v>-4.9948304679999778E-3</v>
      </c>
      <c r="E802" s="4">
        <v>-1E-4</v>
      </c>
      <c r="F802" s="4">
        <f t="shared" si="456"/>
        <v>7.7483798237079071E-2</v>
      </c>
      <c r="G802" s="40">
        <f t="shared" si="452"/>
        <v>107.74837982370786</v>
      </c>
      <c r="H802" s="36">
        <f>(1+I800)*(1+I801)*(1+I802)-1</f>
        <v>-3.1011196600000401E-3</v>
      </c>
      <c r="I802" s="4">
        <v>5.0000000000000001E-4</v>
      </c>
      <c r="J802" s="4">
        <f t="shared" si="458"/>
        <v>0.13443574570991634</v>
      </c>
      <c r="K802" s="40">
        <f t="shared" si="454"/>
        <v>113.44357457099174</v>
      </c>
      <c r="L802" s="36">
        <f>(1+M800)*(1+M801)*(1+M802)-1</f>
        <v>-1.4624450799999966E-2</v>
      </c>
      <c r="M802" s="4">
        <v>6.4000000000000003E-3</v>
      </c>
      <c r="N802" s="4">
        <f t="shared" si="466"/>
        <v>0.18776904742385558</v>
      </c>
      <c r="O802" s="40">
        <f t="shared" si="455"/>
        <v>118.77690474238544</v>
      </c>
    </row>
    <row r="803" spans="1:15" ht="13.5" x14ac:dyDescent="0.25">
      <c r="A803" s="2">
        <v>43220</v>
      </c>
      <c r="B803" s="49">
        <v>2014511.48</v>
      </c>
      <c r="C803" s="6">
        <v>4</v>
      </c>
      <c r="D803" s="37"/>
      <c r="E803" s="4">
        <v>-2.0999999999999999E-3</v>
      </c>
      <c r="F803" s="4">
        <f t="shared" si="456"/>
        <v>7.522108226078128E-2</v>
      </c>
      <c r="G803" s="40">
        <f t="shared" si="452"/>
        <v>107.52210822607807</v>
      </c>
      <c r="H803" s="37"/>
      <c r="I803" s="4">
        <v>-1.1000000000000001E-3</v>
      </c>
      <c r="J803" s="4">
        <f t="shared" si="458"/>
        <v>0.13318786638963553</v>
      </c>
      <c r="K803" s="40">
        <f t="shared" si="454"/>
        <v>113.31878663896366</v>
      </c>
      <c r="L803" s="37"/>
      <c r="M803" s="4">
        <v>-7.4000000000000003E-3</v>
      </c>
      <c r="N803" s="4">
        <f t="shared" si="466"/>
        <v>0.17897955647291908</v>
      </c>
      <c r="O803" s="40">
        <f t="shared" si="455"/>
        <v>117.89795564729179</v>
      </c>
    </row>
    <row r="804" spans="1:15" ht="13.5" x14ac:dyDescent="0.25">
      <c r="A804" s="2">
        <v>43251</v>
      </c>
      <c r="B804" s="49">
        <v>2017564.63</v>
      </c>
      <c r="C804" s="6">
        <v>4</v>
      </c>
      <c r="D804" s="37"/>
      <c r="E804" s="4">
        <v>1.5E-3</v>
      </c>
      <c r="F804" s="4">
        <f t="shared" si="456"/>
        <v>7.6833913884172489E-2</v>
      </c>
      <c r="G804" s="40">
        <f t="shared" si="452"/>
        <v>107.68339138841719</v>
      </c>
      <c r="H804" s="37"/>
      <c r="I804" s="4">
        <v>1.5E-3</v>
      </c>
      <c r="J804" s="4">
        <f t="shared" si="458"/>
        <v>0.13488764818922006</v>
      </c>
      <c r="K804" s="40">
        <f t="shared" si="454"/>
        <v>113.48876481892211</v>
      </c>
      <c r="L804" s="37"/>
      <c r="M804" s="4">
        <v>7.1000000000000004E-3</v>
      </c>
      <c r="N804" s="4">
        <f t="shared" si="466"/>
        <v>0.18735031132387703</v>
      </c>
      <c r="O804" s="40">
        <f t="shared" si="455"/>
        <v>118.73503113238758</v>
      </c>
    </row>
    <row r="805" spans="1:15" ht="13.5" x14ac:dyDescent="0.25">
      <c r="A805" s="2">
        <v>43281</v>
      </c>
      <c r="B805" s="49">
        <v>1914445.27</v>
      </c>
      <c r="C805" s="6">
        <v>4</v>
      </c>
      <c r="D805" s="36">
        <f>(1+E803)*(1+E804)*(1+E805)-1</f>
        <v>-2.0023055899998088E-3</v>
      </c>
      <c r="E805" s="4">
        <v>-1.4E-3</v>
      </c>
      <c r="F805" s="4">
        <f t="shared" si="456"/>
        <v>7.5326346404734679E-2</v>
      </c>
      <c r="G805" s="40">
        <f t="shared" si="452"/>
        <v>107.53263464047342</v>
      </c>
      <c r="H805" s="36">
        <f>(1+I803)*(1+I804)*(1+I805)-1</f>
        <v>-6.0204834999999512E-4</v>
      </c>
      <c r="I805" s="4">
        <v>-1E-3</v>
      </c>
      <c r="J805" s="4">
        <f t="shared" si="458"/>
        <v>0.13375276054103091</v>
      </c>
      <c r="K805" s="40">
        <f t="shared" si="454"/>
        <v>113.37527605410318</v>
      </c>
      <c r="L805" s="36">
        <f>(1+M803)*(1+M804)*(1+M805)-1</f>
        <v>-1.5521169519998601E-3</v>
      </c>
      <c r="M805" s="4">
        <v>-1.1999999999999999E-3</v>
      </c>
      <c r="N805" s="4">
        <f t="shared" si="466"/>
        <v>0.18592549095028832</v>
      </c>
      <c r="O805" s="40">
        <f t="shared" si="455"/>
        <v>118.59254909502872</v>
      </c>
    </row>
    <row r="806" spans="1:15" ht="13.5" x14ac:dyDescent="0.25">
      <c r="A806" s="2">
        <v>43312</v>
      </c>
      <c r="B806" s="49">
        <v>1914885.21</v>
      </c>
      <c r="C806" s="6">
        <v>4</v>
      </c>
      <c r="D806" s="37"/>
      <c r="E806" s="4">
        <v>2.9999999999999997E-4</v>
      </c>
      <c r="F806" s="4">
        <f t="shared" si="456"/>
        <v>7.5648944308656096E-2</v>
      </c>
      <c r="G806" s="40">
        <f t="shared" si="452"/>
        <v>107.56489443086555</v>
      </c>
      <c r="H806" s="37"/>
      <c r="I806" s="4">
        <v>1.2999999999999999E-3</v>
      </c>
      <c r="J806" s="4">
        <f t="shared" si="458"/>
        <v>0.13522663912973432</v>
      </c>
      <c r="K806" s="40">
        <f t="shared" si="454"/>
        <v>113.52266391297353</v>
      </c>
      <c r="L806" s="37"/>
      <c r="M806" s="4">
        <v>2.0000000000000001E-4</v>
      </c>
      <c r="N806" s="4">
        <f t="shared" si="466"/>
        <v>0.18616267604847825</v>
      </c>
      <c r="O806" s="40">
        <f t="shared" si="455"/>
        <v>118.61626760484772</v>
      </c>
    </row>
    <row r="807" spans="1:15" ht="13.5" x14ac:dyDescent="0.25">
      <c r="A807" s="2">
        <v>43343</v>
      </c>
      <c r="B807" s="49">
        <v>1920561.06</v>
      </c>
      <c r="C807" s="6">
        <v>4</v>
      </c>
      <c r="D807" s="37"/>
      <c r="E807" s="4">
        <v>3.0000000000000001E-3</v>
      </c>
      <c r="F807" s="4">
        <f t="shared" si="456"/>
        <v>7.8875891141581889E-2</v>
      </c>
      <c r="G807" s="40">
        <f t="shared" si="452"/>
        <v>107.88758911415813</v>
      </c>
      <c r="H807" s="37"/>
      <c r="I807" s="4">
        <v>3.0000000000000001E-3</v>
      </c>
      <c r="J807" s="4">
        <f t="shared" si="458"/>
        <v>0.13863231904712348</v>
      </c>
      <c r="K807" s="40">
        <f t="shared" si="454"/>
        <v>113.86323190471244</v>
      </c>
      <c r="L807" s="37"/>
      <c r="M807" s="4">
        <v>6.4000000000000003E-3</v>
      </c>
      <c r="N807" s="4">
        <f t="shared" si="466"/>
        <v>0.19375411717518842</v>
      </c>
      <c r="O807" s="40">
        <f t="shared" si="455"/>
        <v>119.37541171751874</v>
      </c>
    </row>
    <row r="808" spans="1:15" ht="13.5" x14ac:dyDescent="0.25">
      <c r="A808" s="2">
        <v>43373</v>
      </c>
      <c r="B808" s="49">
        <v>1916696.24</v>
      </c>
      <c r="C808" s="6">
        <v>4</v>
      </c>
      <c r="D808" s="36">
        <f>(1+E806)*(1+E807)*(1+E808)-1</f>
        <v>1.2942981999999326E-3</v>
      </c>
      <c r="E808" s="4">
        <v>-2E-3</v>
      </c>
      <c r="F808" s="4">
        <f t="shared" si="456"/>
        <v>7.6718139359298831E-2</v>
      </c>
      <c r="G808" s="40">
        <f t="shared" si="452"/>
        <v>107.67181393592982</v>
      </c>
      <c r="H808" s="36">
        <f>(1+I806)*(1+I807)*(1+I808)-1</f>
        <v>2.9983049299999731E-3</v>
      </c>
      <c r="I808" s="4">
        <v>-1.2999999999999999E-3</v>
      </c>
      <c r="J808" s="4">
        <f t="shared" si="458"/>
        <v>0.13715209703236231</v>
      </c>
      <c r="K808" s="40">
        <f t="shared" si="454"/>
        <v>113.71520970323631</v>
      </c>
      <c r="L808" s="36">
        <f>(1+M806)*(1+M807)*(1+M808)-1</f>
        <v>1.5903180800003192E-4</v>
      </c>
      <c r="M808" s="4">
        <v>-6.4000000000000003E-3</v>
      </c>
      <c r="N808" s="4">
        <f t="shared" si="466"/>
        <v>0.1861140908252672</v>
      </c>
      <c r="O808" s="40">
        <f t="shared" si="455"/>
        <v>118.61140908252663</v>
      </c>
    </row>
    <row r="809" spans="1:15" ht="13.5" x14ac:dyDescent="0.25">
      <c r="A809" s="2">
        <v>43404</v>
      </c>
      <c r="B809" s="49">
        <v>1909599.34</v>
      </c>
      <c r="C809" s="6">
        <v>4</v>
      </c>
      <c r="D809" s="37"/>
      <c r="E809" s="4">
        <v>-3.7000000000000002E-3</v>
      </c>
      <c r="F809" s="4">
        <f t="shared" si="456"/>
        <v>7.2734282243669401E-2</v>
      </c>
      <c r="G809" s="40">
        <f t="shared" si="452"/>
        <v>107.27342822436688</v>
      </c>
      <c r="H809" s="37"/>
      <c r="I809" s="4">
        <v>-2.7000000000000001E-3</v>
      </c>
      <c r="J809" s="4">
        <f t="shared" si="458"/>
        <v>0.13408178637037493</v>
      </c>
      <c r="K809" s="40">
        <f t="shared" si="454"/>
        <v>113.40817863703757</v>
      </c>
      <c r="L809" s="37"/>
      <c r="M809" s="4">
        <v>-7.9000000000000008E-3</v>
      </c>
      <c r="N809" s="4">
        <f t="shared" ref="N809:N814" si="467">(N808+1)*(M809+1)-1</f>
        <v>0.1767437895077475</v>
      </c>
      <c r="O809" s="40">
        <f t="shared" si="455"/>
        <v>117.67437895077467</v>
      </c>
    </row>
    <row r="810" spans="1:15" ht="13.5" x14ac:dyDescent="0.25">
      <c r="A810" s="2">
        <v>43434</v>
      </c>
      <c r="B810" s="49">
        <v>1916603.34</v>
      </c>
      <c r="C810" s="6">
        <v>4</v>
      </c>
      <c r="D810" s="37"/>
      <c r="E810" s="4">
        <v>3.7000000000000002E-3</v>
      </c>
      <c r="F810" s="4">
        <f t="shared" si="456"/>
        <v>7.670339908797108E-2</v>
      </c>
      <c r="G810" s="40">
        <f t="shared" si="452"/>
        <v>107.67033990879705</v>
      </c>
      <c r="H810" s="37"/>
      <c r="I810" s="4">
        <v>3.7000000000000002E-3</v>
      </c>
      <c r="J810" s="4">
        <f t="shared" si="458"/>
        <v>0.13827788897994542</v>
      </c>
      <c r="K810" s="40">
        <f t="shared" si="454"/>
        <v>113.82778889799461</v>
      </c>
      <c r="L810" s="37"/>
      <c r="M810" s="4">
        <v>6.0000000000000001E-3</v>
      </c>
      <c r="N810" s="4">
        <f t="shared" si="467"/>
        <v>0.18380425224479402</v>
      </c>
      <c r="O810" s="40">
        <f t="shared" si="455"/>
        <v>118.38042522447931</v>
      </c>
    </row>
    <row r="811" spans="1:15" ht="13.5" x14ac:dyDescent="0.25">
      <c r="A811" s="2">
        <v>43465</v>
      </c>
      <c r="B811" s="49">
        <v>1916983.93</v>
      </c>
      <c r="C811" s="6">
        <v>4</v>
      </c>
      <c r="D811" s="36">
        <f>(1+E809)*(1+E810)*(1+E811)-1</f>
        <v>1.8630726200008496E-4</v>
      </c>
      <c r="E811" s="4">
        <v>2.0000000000000001E-4</v>
      </c>
      <c r="F811" s="4">
        <f t="shared" si="456"/>
        <v>7.6918739767788624E-2</v>
      </c>
      <c r="G811" s="40">
        <f t="shared" ref="G811:G874" si="468">G810*(1+E811)</f>
        <v>107.69187397677881</v>
      </c>
      <c r="H811" s="36">
        <f>(1+I809)*(1+I810)*(1+I811)-1</f>
        <v>1.8909010089998013E-3</v>
      </c>
      <c r="I811" s="4">
        <v>8.9999999999999998E-4</v>
      </c>
      <c r="J811" s="4">
        <f t="shared" si="458"/>
        <v>0.1393023390800272</v>
      </c>
      <c r="K811" s="40">
        <f t="shared" ref="K811:K874" si="469">K810*(1+I811)</f>
        <v>113.93023390800279</v>
      </c>
      <c r="L811" s="36">
        <f>(1+M809)*(1+M810)*(1+M811)-1</f>
        <v>1.6416767840000013E-2</v>
      </c>
      <c r="M811" s="4">
        <v>1.84E-2</v>
      </c>
      <c r="N811" s="4">
        <f t="shared" si="467"/>
        <v>0.20558625048609813</v>
      </c>
      <c r="O811" s="40">
        <f t="shared" ref="O811:O874" si="470">O810*(1+M811)</f>
        <v>120.55862504860973</v>
      </c>
    </row>
    <row r="812" spans="1:15" ht="13.5" x14ac:dyDescent="0.25">
      <c r="A812" s="2">
        <v>43496</v>
      </c>
      <c r="B812" s="49">
        <v>1937809.2</v>
      </c>
      <c r="C812" s="6">
        <v>4</v>
      </c>
      <c r="D812" s="37"/>
      <c r="E812" s="4">
        <v>1.09E-2</v>
      </c>
      <c r="F812" s="4">
        <f t="shared" si="456"/>
        <v>8.8657154031257512E-2</v>
      </c>
      <c r="G812" s="40">
        <f t="shared" si="468"/>
        <v>108.86571540312569</v>
      </c>
      <c r="H812" s="37"/>
      <c r="I812" s="4">
        <v>1.1900000000000001E-2</v>
      </c>
      <c r="J812" s="4">
        <f t="shared" si="458"/>
        <v>0.15286003691507966</v>
      </c>
      <c r="K812" s="40">
        <f t="shared" si="469"/>
        <v>115.28600369150803</v>
      </c>
      <c r="L812" s="37"/>
      <c r="M812" s="4">
        <v>1.06E-2</v>
      </c>
      <c r="N812" s="4">
        <f t="shared" si="467"/>
        <v>0.21836546474125074</v>
      </c>
      <c r="O812" s="40">
        <f t="shared" si="470"/>
        <v>121.83654647412499</v>
      </c>
    </row>
    <row r="813" spans="1:15" ht="13.5" x14ac:dyDescent="0.25">
      <c r="A813" s="2">
        <v>43524</v>
      </c>
      <c r="B813" s="49">
        <v>1944022.47</v>
      </c>
      <c r="C813" s="6">
        <v>4</v>
      </c>
      <c r="D813" s="37"/>
      <c r="E813" s="4">
        <v>3.2000000000000002E-3</v>
      </c>
      <c r="F813" s="4">
        <f t="shared" si="456"/>
        <v>9.2140856924157744E-2</v>
      </c>
      <c r="G813" s="40">
        <f t="shared" si="468"/>
        <v>109.21408569241571</v>
      </c>
      <c r="H813" s="37"/>
      <c r="I813" s="4">
        <v>3.2000000000000002E-3</v>
      </c>
      <c r="J813" s="4">
        <f t="shared" si="458"/>
        <v>0.15654918903320802</v>
      </c>
      <c r="K813" s="40">
        <f t="shared" si="469"/>
        <v>115.65491890332086</v>
      </c>
      <c r="L813" s="37"/>
      <c r="M813" s="4">
        <v>-5.9999999999999995E-4</v>
      </c>
      <c r="N813" s="4">
        <f t="shared" si="467"/>
        <v>0.21763444546240596</v>
      </c>
      <c r="O813" s="40">
        <f t="shared" si="470"/>
        <v>121.76344454624051</v>
      </c>
    </row>
    <row r="814" spans="1:15" ht="13.5" x14ac:dyDescent="0.25">
      <c r="A814" s="2">
        <v>43555</v>
      </c>
      <c r="B814" s="49">
        <v>1952699.56</v>
      </c>
      <c r="C814" s="6">
        <v>4</v>
      </c>
      <c r="D814" s="36">
        <f>(1+E812)*(1+E813)*(1+E814)-1</f>
        <v>1.8698486959999983E-2</v>
      </c>
      <c r="E814" s="4">
        <v>4.4999999999999997E-3</v>
      </c>
      <c r="F814" s="4">
        <f t="shared" si="456"/>
        <v>9.70554907803165E-2</v>
      </c>
      <c r="G814" s="40">
        <f t="shared" si="468"/>
        <v>109.70554907803157</v>
      </c>
      <c r="H814" s="36">
        <f>(1+I812)*(1+I813)*(1+I814)-1</f>
        <v>2.0315284208000106E-2</v>
      </c>
      <c r="I814" s="4">
        <v>5.1000000000000004E-3</v>
      </c>
      <c r="J814" s="4">
        <f t="shared" si="458"/>
        <v>0.16244758989727748</v>
      </c>
      <c r="K814" s="40">
        <f t="shared" si="469"/>
        <v>116.24475898972781</v>
      </c>
      <c r="L814" s="36">
        <f>(1+M812)*(1+M813)*(1+M814)-1</f>
        <v>2.9385517887999812E-2</v>
      </c>
      <c r="M814" s="4">
        <v>1.9199999999999998E-2</v>
      </c>
      <c r="N814" s="4">
        <f t="shared" si="467"/>
        <v>0.24101302681528436</v>
      </c>
      <c r="O814" s="40">
        <f t="shared" si="470"/>
        <v>124.10130268152834</v>
      </c>
    </row>
    <row r="815" spans="1:15" ht="13.5" x14ac:dyDescent="0.25">
      <c r="A815" s="2">
        <v>43585</v>
      </c>
      <c r="B815" s="49">
        <v>1952493</v>
      </c>
      <c r="C815" s="6">
        <v>4</v>
      </c>
      <c r="D815" s="37"/>
      <c r="E815" s="4">
        <v>0</v>
      </c>
      <c r="F815" s="4">
        <f t="shared" si="456"/>
        <v>9.70554907803165E-2</v>
      </c>
      <c r="G815" s="40">
        <f t="shared" si="468"/>
        <v>109.70554907803157</v>
      </c>
      <c r="H815" s="37"/>
      <c r="I815" s="4">
        <v>1E-3</v>
      </c>
      <c r="J815" s="4">
        <f t="shared" si="458"/>
        <v>0.16361003748717473</v>
      </c>
      <c r="K815" s="40">
        <f t="shared" si="469"/>
        <v>116.36100374871752</v>
      </c>
      <c r="L815" s="37"/>
      <c r="M815" s="4">
        <v>2.9999999999999997E-4</v>
      </c>
      <c r="N815" s="4">
        <f t="shared" ref="N815:N820" si="471">(N814+1)*(M815+1)-1</f>
        <v>0.24138533072332891</v>
      </c>
      <c r="O815" s="40">
        <f t="shared" si="470"/>
        <v>124.13853307233279</v>
      </c>
    </row>
    <row r="816" spans="1:15" ht="13.5" x14ac:dyDescent="0.25">
      <c r="A816" s="2">
        <v>43616</v>
      </c>
      <c r="B816" s="49">
        <v>1959419.69</v>
      </c>
      <c r="C816" s="6">
        <v>4</v>
      </c>
      <c r="D816" s="37"/>
      <c r="E816" s="4">
        <v>3.5000000000000001E-3</v>
      </c>
      <c r="F816" s="4">
        <f t="shared" ref="F816:F879" si="472">(F815+1)*(E816+1)-1</f>
        <v>0.10089518499804773</v>
      </c>
      <c r="G816" s="40">
        <f t="shared" si="468"/>
        <v>110.08951849980468</v>
      </c>
      <c r="H816" s="37"/>
      <c r="I816" s="4">
        <v>3.5000000000000001E-3</v>
      </c>
      <c r="J816" s="4">
        <f t="shared" si="458"/>
        <v>0.16768267261837999</v>
      </c>
      <c r="K816" s="40">
        <f t="shared" si="469"/>
        <v>116.76826726183803</v>
      </c>
      <c r="L816" s="37"/>
      <c r="M816" s="4">
        <v>1.78E-2</v>
      </c>
      <c r="N816" s="4">
        <f t="shared" si="471"/>
        <v>0.2634819896102043</v>
      </c>
      <c r="O816" s="40">
        <f t="shared" si="470"/>
        <v>126.34819896102032</v>
      </c>
    </row>
    <row r="817" spans="1:15" ht="13.5" x14ac:dyDescent="0.25">
      <c r="A817" s="2">
        <v>43646</v>
      </c>
      <c r="B817" s="49">
        <v>1968126.13</v>
      </c>
      <c r="C817" s="6">
        <v>4</v>
      </c>
      <c r="D817" s="36">
        <f>(1+E815)*(1+E816)*(1+E817)-1</f>
        <v>7.9154000000001279E-3</v>
      </c>
      <c r="E817" s="4">
        <v>4.4000000000000003E-3</v>
      </c>
      <c r="F817" s="4">
        <f t="shared" si="472"/>
        <v>0.10573912381203909</v>
      </c>
      <c r="G817" s="40">
        <f t="shared" si="468"/>
        <v>110.57391238120383</v>
      </c>
      <c r="H817" s="36">
        <f>(1+I815)*(1+I816)*(1+I817)-1</f>
        <v>9.6264678500002088E-3</v>
      </c>
      <c r="I817" s="4">
        <v>5.1000000000000004E-3</v>
      </c>
      <c r="J817" s="4">
        <f t="shared" si="458"/>
        <v>0.17363785424873379</v>
      </c>
      <c r="K817" s="40">
        <f t="shared" si="469"/>
        <v>117.36378542487341</v>
      </c>
      <c r="L817" s="36">
        <f>(1+M815)*(1+M816)*(1+M817)-1</f>
        <v>3.0933467283999816E-2</v>
      </c>
      <c r="M817" s="4">
        <v>1.26E-2</v>
      </c>
      <c r="N817" s="4">
        <f t="shared" si="471"/>
        <v>0.2794018626792929</v>
      </c>
      <c r="O817" s="40">
        <f t="shared" si="470"/>
        <v>127.94018626792916</v>
      </c>
    </row>
    <row r="818" spans="1:15" ht="13.5" x14ac:dyDescent="0.25">
      <c r="A818" s="2">
        <v>43677</v>
      </c>
      <c r="B818" s="49">
        <v>1972676.82</v>
      </c>
      <c r="C818" s="6">
        <v>4</v>
      </c>
      <c r="D818" s="37"/>
      <c r="E818" s="4">
        <v>3.3E-3</v>
      </c>
      <c r="F818" s="4">
        <f t="shared" si="472"/>
        <v>0.10938806292061898</v>
      </c>
      <c r="G818" s="40">
        <f t="shared" si="468"/>
        <v>110.93880629206181</v>
      </c>
      <c r="H818" s="37"/>
      <c r="I818" s="4">
        <v>3.3E-3</v>
      </c>
      <c r="J818" s="4">
        <f t="shared" si="458"/>
        <v>0.17751085916775478</v>
      </c>
      <c r="K818" s="40">
        <f t="shared" si="469"/>
        <v>117.75108591677551</v>
      </c>
      <c r="L818" s="37"/>
      <c r="M818" s="4">
        <v>2.2000000000000001E-3</v>
      </c>
      <c r="N818" s="4">
        <f t="shared" si="471"/>
        <v>0.28221654677718733</v>
      </c>
      <c r="O818" s="40">
        <f t="shared" si="470"/>
        <v>128.22165467771862</v>
      </c>
    </row>
    <row r="819" spans="1:15" ht="13.5" x14ac:dyDescent="0.25">
      <c r="A819" s="2">
        <v>43708</v>
      </c>
      <c r="B819" s="49">
        <v>1981172.88</v>
      </c>
      <c r="C819" s="6">
        <v>4</v>
      </c>
      <c r="D819" s="37"/>
      <c r="E819" s="4">
        <v>4.3E-3</v>
      </c>
      <c r="F819" s="4">
        <f t="shared" si="472"/>
        <v>0.11415843159117767</v>
      </c>
      <c r="G819" s="40">
        <f t="shared" si="468"/>
        <v>111.41584315911767</v>
      </c>
      <c r="H819" s="37"/>
      <c r="I819" s="4">
        <v>4.3E-3</v>
      </c>
      <c r="J819" s="4">
        <f t="shared" si="458"/>
        <v>0.18257415586217607</v>
      </c>
      <c r="K819" s="40">
        <f t="shared" si="469"/>
        <v>118.25741558621765</v>
      </c>
      <c r="L819" s="37"/>
      <c r="M819" s="4">
        <v>2.5899999999999999E-2</v>
      </c>
      <c r="N819" s="4">
        <f t="shared" si="471"/>
        <v>0.31542595533871642</v>
      </c>
      <c r="O819" s="40">
        <f t="shared" si="470"/>
        <v>131.54259553387155</v>
      </c>
    </row>
    <row r="820" spans="1:15" ht="13.5" x14ac:dyDescent="0.25">
      <c r="A820" s="2">
        <v>43738</v>
      </c>
      <c r="B820" s="49">
        <v>1984735.15</v>
      </c>
      <c r="C820" s="6">
        <v>4</v>
      </c>
      <c r="D820" s="36">
        <f>(1+E818)*(1+E819)*(1+E820)-1</f>
        <v>9.4278955419999644E-3</v>
      </c>
      <c r="E820" s="4">
        <v>1.8E-3</v>
      </c>
      <c r="F820" s="4">
        <f t="shared" si="472"/>
        <v>0.11616391676804172</v>
      </c>
      <c r="G820" s="40">
        <f t="shared" si="468"/>
        <v>111.61639167680408</v>
      </c>
      <c r="H820" s="36">
        <f>(1+I818)*(1+I819)*(1+I820)-1</f>
        <v>1.0133225474999952E-2</v>
      </c>
      <c r="I820" s="4">
        <v>2.5000000000000001E-3</v>
      </c>
      <c r="J820" s="4">
        <f t="shared" ref="J820:J883" si="473">(J819+1)*(I820+1)-1</f>
        <v>0.18553059125183147</v>
      </c>
      <c r="K820" s="40">
        <f t="shared" si="469"/>
        <v>118.55305912518318</v>
      </c>
      <c r="L820" s="36">
        <f>(1+M818)*(1+M819)*(1+M820)-1</f>
        <v>2.2707748006000061E-2</v>
      </c>
      <c r="M820" s="4">
        <v>-5.3E-3</v>
      </c>
      <c r="N820" s="4">
        <f t="shared" si="471"/>
        <v>0.30845419777542116</v>
      </c>
      <c r="O820" s="40">
        <f t="shared" si="470"/>
        <v>130.84541977754202</v>
      </c>
    </row>
    <row r="821" spans="1:15" ht="13.5" x14ac:dyDescent="0.25">
      <c r="A821" s="2">
        <v>43769</v>
      </c>
      <c r="B821" s="49">
        <v>1990380.83</v>
      </c>
      <c r="C821" s="6">
        <v>4</v>
      </c>
      <c r="D821" s="37"/>
      <c r="E821" s="4">
        <v>2.8E-3</v>
      </c>
      <c r="F821" s="4">
        <f t="shared" si="472"/>
        <v>0.11928917573499209</v>
      </c>
      <c r="G821" s="40">
        <f t="shared" si="468"/>
        <v>111.92891757349912</v>
      </c>
      <c r="H821" s="37"/>
      <c r="I821" s="4">
        <v>3.8999999999999998E-3</v>
      </c>
      <c r="J821" s="4">
        <f t="shared" si="473"/>
        <v>0.19015416055771373</v>
      </c>
      <c r="K821" s="40">
        <f t="shared" si="469"/>
        <v>119.0154160557714</v>
      </c>
      <c r="L821" s="37"/>
      <c r="M821" s="4">
        <v>3.0000000000000001E-3</v>
      </c>
      <c r="N821" s="4">
        <f t="shared" ref="N821:N826" si="474">(N820+1)*(M821+1)-1</f>
        <v>0.31237956036874737</v>
      </c>
      <c r="O821" s="40">
        <f t="shared" si="470"/>
        <v>131.23795603687464</v>
      </c>
    </row>
    <row r="822" spans="1:15" ht="13.5" x14ac:dyDescent="0.25">
      <c r="A822" s="2">
        <v>43799</v>
      </c>
      <c r="B822" s="49">
        <v>1992930.46</v>
      </c>
      <c r="C822" s="6">
        <v>4</v>
      </c>
      <c r="D822" s="37"/>
      <c r="E822" s="4">
        <v>1.2999999999999999E-3</v>
      </c>
      <c r="F822" s="4">
        <f t="shared" si="472"/>
        <v>0.1207442516634476</v>
      </c>
      <c r="G822" s="40">
        <f t="shared" si="468"/>
        <v>112.07442516634468</v>
      </c>
      <c r="H822" s="37"/>
      <c r="I822" s="4">
        <v>1.2999999999999999E-3</v>
      </c>
      <c r="J822" s="4">
        <f t="shared" si="473"/>
        <v>0.19170136096643886</v>
      </c>
      <c r="K822" s="40">
        <f t="shared" si="469"/>
        <v>119.17013609664392</v>
      </c>
      <c r="L822" s="37"/>
      <c r="M822" s="4">
        <v>-5.0000000000000001E-4</v>
      </c>
      <c r="N822" s="4">
        <f t="shared" si="474"/>
        <v>0.31172337058856314</v>
      </c>
      <c r="O822" s="40">
        <f t="shared" si="470"/>
        <v>131.17233705885621</v>
      </c>
    </row>
    <row r="823" spans="1:15" ht="13.5" x14ac:dyDescent="0.25">
      <c r="A823" s="2">
        <v>43830</v>
      </c>
      <c r="B823" s="49">
        <v>1993715.2</v>
      </c>
      <c r="C823" s="6">
        <v>4</v>
      </c>
      <c r="D823" s="36">
        <f>(1+E821)*(1+E822)*(1+E823)-1</f>
        <v>4.5052814560000431E-3</v>
      </c>
      <c r="E823" s="4">
        <v>4.0000000000000002E-4</v>
      </c>
      <c r="F823" s="4">
        <f t="shared" si="472"/>
        <v>0.12119254936411283</v>
      </c>
      <c r="G823" s="40">
        <f t="shared" si="468"/>
        <v>112.11925493641121</v>
      </c>
      <c r="H823" s="36">
        <f>(1+I821)*(1+I822)*(1+I823)-1</f>
        <v>6.3107955770003166E-3</v>
      </c>
      <c r="I823" s="4">
        <v>1.1000000000000001E-3</v>
      </c>
      <c r="J823" s="4">
        <f t="shared" si="473"/>
        <v>0.19301223246350196</v>
      </c>
      <c r="K823" s="40">
        <f t="shared" si="469"/>
        <v>119.30122324635023</v>
      </c>
      <c r="L823" s="36">
        <f>(1+M821)*(1+M822)*(1+M823)-1</f>
        <v>1.7967510499998784E-3</v>
      </c>
      <c r="M823" s="4">
        <v>-6.9999999999999999E-4</v>
      </c>
      <c r="N823" s="4">
        <f t="shared" si="474"/>
        <v>0.31080516422915117</v>
      </c>
      <c r="O823" s="40">
        <f t="shared" si="470"/>
        <v>131.08051642291503</v>
      </c>
    </row>
    <row r="824" spans="1:15" ht="13.5" x14ac:dyDescent="0.25">
      <c r="A824" s="2">
        <v>43861</v>
      </c>
      <c r="B824" s="49">
        <v>2002992.57</v>
      </c>
      <c r="C824" s="6">
        <v>4</v>
      </c>
      <c r="D824" s="37"/>
      <c r="E824" s="4">
        <v>4.7000000000000002E-3</v>
      </c>
      <c r="F824" s="4">
        <f t="shared" si="472"/>
        <v>0.12646215434612418</v>
      </c>
      <c r="G824" s="40">
        <f t="shared" si="468"/>
        <v>112.64621543461233</v>
      </c>
      <c r="H824" s="37"/>
      <c r="I824" s="4">
        <v>5.7000000000000002E-3</v>
      </c>
      <c r="J824" s="4">
        <f t="shared" si="473"/>
        <v>0.1998124021885439</v>
      </c>
      <c r="K824" s="40">
        <f t="shared" si="469"/>
        <v>119.98124021885444</v>
      </c>
      <c r="L824" s="37"/>
      <c r="M824" s="4">
        <v>1.9199999999999998E-2</v>
      </c>
      <c r="N824" s="4">
        <f t="shared" si="474"/>
        <v>0.33597262338235101</v>
      </c>
      <c r="O824" s="40">
        <f t="shared" si="470"/>
        <v>133.597262338235</v>
      </c>
    </row>
    <row r="825" spans="1:15" ht="13.5" x14ac:dyDescent="0.25">
      <c r="A825" s="2">
        <v>43890</v>
      </c>
      <c r="B825" s="49">
        <v>2002346.35</v>
      </c>
      <c r="C825" s="6">
        <v>4</v>
      </c>
      <c r="D825" s="37"/>
      <c r="E825" s="4">
        <v>-2.9999999999999997E-4</v>
      </c>
      <c r="F825" s="4">
        <f t="shared" si="472"/>
        <v>0.12612421569982035</v>
      </c>
      <c r="G825" s="40">
        <f t="shared" si="468"/>
        <v>112.61242156998195</v>
      </c>
      <c r="H825" s="37"/>
      <c r="I825" s="4">
        <v>-2.9999999999999997E-4</v>
      </c>
      <c r="J825" s="4">
        <f t="shared" si="473"/>
        <v>0.19945245846788739</v>
      </c>
      <c r="K825" s="40">
        <f t="shared" si="469"/>
        <v>119.94524584678878</v>
      </c>
      <c r="L825" s="37"/>
      <c r="M825" s="4">
        <v>1.7999999999999999E-2</v>
      </c>
      <c r="N825" s="4">
        <f t="shared" si="474"/>
        <v>0.36002013060323335</v>
      </c>
      <c r="O825" s="40">
        <f t="shared" si="470"/>
        <v>136.00201306032324</v>
      </c>
    </row>
    <row r="826" spans="1:15" ht="13.5" x14ac:dyDescent="0.25">
      <c r="A826" s="2">
        <v>43921</v>
      </c>
      <c r="B826" s="49">
        <v>1961730.52</v>
      </c>
      <c r="C826" s="6">
        <v>4</v>
      </c>
      <c r="D826" s="36">
        <f>(1+E824)*(1+E825)*(1+E826)-1</f>
        <v>-1.5990701377000094E-2</v>
      </c>
      <c r="E826" s="4">
        <v>-2.0299999999999999E-2</v>
      </c>
      <c r="F826" s="4">
        <f t="shared" si="472"/>
        <v>0.10326389412111392</v>
      </c>
      <c r="G826" s="40">
        <f t="shared" si="468"/>
        <v>110.32638941211131</v>
      </c>
      <c r="H826" s="36">
        <f>(1+I824)*(1+I825)*(1+I826)-1</f>
        <v>-1.4307516483999971E-2</v>
      </c>
      <c r="I826" s="4">
        <v>-1.9599999999999999E-2</v>
      </c>
      <c r="J826" s="4">
        <f t="shared" si="473"/>
        <v>0.17594319028191685</v>
      </c>
      <c r="K826" s="40">
        <f t="shared" si="469"/>
        <v>117.59431902819172</v>
      </c>
      <c r="L826" s="36">
        <f>(1+M824)*(1+M825)*(1+M826)-1</f>
        <v>3.1424080960000156E-2</v>
      </c>
      <c r="M826" s="4">
        <v>-5.8999999999999999E-3</v>
      </c>
      <c r="N826" s="4">
        <f t="shared" si="474"/>
        <v>0.35199601183267415</v>
      </c>
      <c r="O826" s="40">
        <f t="shared" si="470"/>
        <v>135.19960118326733</v>
      </c>
    </row>
    <row r="827" spans="1:15" ht="13.5" x14ac:dyDescent="0.25">
      <c r="A827" s="2">
        <v>43951</v>
      </c>
      <c r="B827" s="49">
        <v>1986376.23</v>
      </c>
      <c r="C827" s="6">
        <v>4</v>
      </c>
      <c r="D827" s="37"/>
      <c r="E827" s="4">
        <v>1.26E-2</v>
      </c>
      <c r="F827" s="4">
        <f t="shared" si="472"/>
        <v>0.11716501918703992</v>
      </c>
      <c r="G827" s="40">
        <f t="shared" si="468"/>
        <v>111.71650191870391</v>
      </c>
      <c r="H827" s="37"/>
      <c r="I827" s="4">
        <v>1.3599999999999999E-2</v>
      </c>
      <c r="J827" s="4">
        <f t="shared" si="473"/>
        <v>0.19193601766975088</v>
      </c>
      <c r="K827" s="40">
        <f t="shared" si="469"/>
        <v>119.19360176697514</v>
      </c>
      <c r="L827" s="37"/>
      <c r="M827" s="4">
        <v>1.78E-2</v>
      </c>
      <c r="N827" s="4">
        <f t="shared" ref="N827:N832" si="475">(N826+1)*(M827+1)-1</f>
        <v>0.37606154084329591</v>
      </c>
      <c r="O827" s="40">
        <f t="shared" si="470"/>
        <v>137.60615408432949</v>
      </c>
    </row>
    <row r="828" spans="1:15" ht="13.5" x14ac:dyDescent="0.25">
      <c r="A828" s="2">
        <v>43982</v>
      </c>
      <c r="B828" s="49">
        <v>2005796.07</v>
      </c>
      <c r="C828" s="6">
        <v>4</v>
      </c>
      <c r="D828" s="37"/>
      <c r="E828" s="4">
        <v>9.7999999999999997E-3</v>
      </c>
      <c r="F828" s="4">
        <f t="shared" si="472"/>
        <v>0.12811323637507299</v>
      </c>
      <c r="G828" s="40">
        <f t="shared" si="468"/>
        <v>112.81132363750721</v>
      </c>
      <c r="H828" s="37"/>
      <c r="I828" s="4">
        <v>9.7999999999999997E-3</v>
      </c>
      <c r="J828" s="4">
        <f t="shared" si="473"/>
        <v>0.20361699064291439</v>
      </c>
      <c r="K828" s="40">
        <f t="shared" si="469"/>
        <v>120.3616990642915</v>
      </c>
      <c r="L828" s="37"/>
      <c r="M828" s="4">
        <v>4.7000000000000002E-3</v>
      </c>
      <c r="N828" s="4">
        <f t="shared" si="475"/>
        <v>0.38252903008525929</v>
      </c>
      <c r="O828" s="40">
        <f t="shared" si="470"/>
        <v>138.25290300852583</v>
      </c>
    </row>
    <row r="829" spans="1:15" ht="13.5" x14ac:dyDescent="0.25">
      <c r="A829" s="2">
        <v>44012</v>
      </c>
      <c r="B829" s="49">
        <v>2014179.86</v>
      </c>
      <c r="C829" s="6">
        <v>4</v>
      </c>
      <c r="D829" s="36">
        <f>(1+E827)*(1+E828)*(1+E829)-1</f>
        <v>2.6818078615999941E-2</v>
      </c>
      <c r="E829" s="4">
        <v>4.1999999999999997E-3</v>
      </c>
      <c r="F829" s="4">
        <f t="shared" si="472"/>
        <v>0.13285131196784827</v>
      </c>
      <c r="G829" s="40">
        <f t="shared" si="468"/>
        <v>113.28513119678475</v>
      </c>
      <c r="H829" s="36">
        <f>(1+I827)*(1+I828)*(1+I829)-1</f>
        <v>2.8548593071999973E-2</v>
      </c>
      <c r="I829" s="4">
        <v>4.8999999999999998E-3</v>
      </c>
      <c r="J829" s="4">
        <f t="shared" si="473"/>
        <v>0.20951471389706455</v>
      </c>
      <c r="K829" s="40">
        <f t="shared" si="469"/>
        <v>120.95147138970651</v>
      </c>
      <c r="L829" s="36">
        <f>(1+M827)*(1+M828)*(1+M829)-1</f>
        <v>2.902593705799994E-2</v>
      </c>
      <c r="M829" s="4">
        <v>6.3E-3</v>
      </c>
      <c r="N829" s="4">
        <f t="shared" si="475"/>
        <v>0.39123896297479632</v>
      </c>
      <c r="O829" s="40">
        <f t="shared" si="470"/>
        <v>139.12389629747955</v>
      </c>
    </row>
    <row r="830" spans="1:15" ht="13.5" x14ac:dyDescent="0.25">
      <c r="A830" s="2">
        <v>44043</v>
      </c>
      <c r="B830" s="49">
        <v>2028602.67</v>
      </c>
      <c r="C830" s="6">
        <v>4</v>
      </c>
      <c r="D830" s="37"/>
      <c r="E830" s="4">
        <v>7.1999999999999998E-3</v>
      </c>
      <c r="F830" s="4">
        <f t="shared" si="472"/>
        <v>0.14100784141401679</v>
      </c>
      <c r="G830" s="40">
        <f t="shared" si="468"/>
        <v>114.1007841414016</v>
      </c>
      <c r="H830" s="37"/>
      <c r="I830" s="4">
        <v>8.2000000000000007E-3</v>
      </c>
      <c r="J830" s="4">
        <f t="shared" si="473"/>
        <v>0.21943273455102053</v>
      </c>
      <c r="K830" s="40">
        <f t="shared" si="469"/>
        <v>121.9432734551021</v>
      </c>
      <c r="L830" s="37"/>
      <c r="M830" s="4">
        <v>1.49E-2</v>
      </c>
      <c r="N830" s="4">
        <f t="shared" si="475"/>
        <v>0.41196842352312069</v>
      </c>
      <c r="O830" s="40">
        <f t="shared" si="470"/>
        <v>141.19684235231199</v>
      </c>
    </row>
    <row r="831" spans="1:15" ht="13.5" x14ac:dyDescent="0.25">
      <c r="A831" s="2">
        <v>44074</v>
      </c>
      <c r="B831" s="49">
        <v>2032393.36</v>
      </c>
      <c r="C831" s="6">
        <v>4</v>
      </c>
      <c r="D831" s="37"/>
      <c r="E831" s="4">
        <v>1.9E-3</v>
      </c>
      <c r="F831" s="4">
        <f t="shared" si="472"/>
        <v>0.14317575631270341</v>
      </c>
      <c r="G831" s="40">
        <f t="shared" si="468"/>
        <v>114.31757563127027</v>
      </c>
      <c r="H831" s="37"/>
      <c r="I831" s="4">
        <v>1.9E-3</v>
      </c>
      <c r="J831" s="4">
        <f t="shared" si="473"/>
        <v>0.22174965674666747</v>
      </c>
      <c r="K831" s="40">
        <f t="shared" si="469"/>
        <v>122.17496567466679</v>
      </c>
      <c r="L831" s="37"/>
      <c r="M831" s="4">
        <v>-8.0999999999999996E-3</v>
      </c>
      <c r="N831" s="4">
        <f t="shared" si="475"/>
        <v>0.40053147929258337</v>
      </c>
      <c r="O831" s="40">
        <f t="shared" si="470"/>
        <v>140.05314792925827</v>
      </c>
    </row>
    <row r="832" spans="1:15" ht="13.5" x14ac:dyDescent="0.25">
      <c r="A832" s="2">
        <v>44104</v>
      </c>
      <c r="B832" s="49">
        <v>2027243.3</v>
      </c>
      <c r="C832" s="6">
        <v>4</v>
      </c>
      <c r="D832" s="36">
        <f>(1+E830)*(1+E831)*(1+E832)-1</f>
        <v>6.5908958000000517E-3</v>
      </c>
      <c r="E832" s="4">
        <v>-2.5000000000000001E-3</v>
      </c>
      <c r="F832" s="4">
        <f t="shared" si="472"/>
        <v>0.14031781692192169</v>
      </c>
      <c r="G832" s="40">
        <f t="shared" si="468"/>
        <v>114.0317816921921</v>
      </c>
      <c r="H832" s="36">
        <f>(1+I830)*(1+I831)*(1+I832)-1</f>
        <v>8.19636039799998E-3</v>
      </c>
      <c r="I832" s="4">
        <v>-1.9E-3</v>
      </c>
      <c r="J832" s="4">
        <f t="shared" si="473"/>
        <v>0.21942833239884885</v>
      </c>
      <c r="K832" s="40">
        <f t="shared" si="469"/>
        <v>121.94283323988492</v>
      </c>
      <c r="L832" s="36">
        <f>(1+M830)*(1+M831)*(1+M832)-1</f>
        <v>6.1759703449999481E-3</v>
      </c>
      <c r="M832" s="4">
        <v>-5.0000000000000001E-4</v>
      </c>
      <c r="N832" s="4">
        <f t="shared" si="475"/>
        <v>0.39983121355293716</v>
      </c>
      <c r="O832" s="40">
        <f t="shared" si="470"/>
        <v>139.98312135529366</v>
      </c>
    </row>
    <row r="833" spans="1:15" ht="13.5" x14ac:dyDescent="0.25">
      <c r="A833" s="2">
        <v>44135</v>
      </c>
      <c r="B833" s="49">
        <v>2019504.24</v>
      </c>
      <c r="C833" s="6">
        <v>4</v>
      </c>
      <c r="D833" s="37"/>
      <c r="E833" s="4">
        <v>-3.8E-3</v>
      </c>
      <c r="F833" s="4">
        <f t="shared" si="472"/>
        <v>0.13598460921761846</v>
      </c>
      <c r="G833" s="40">
        <f t="shared" si="468"/>
        <v>113.59846092176177</v>
      </c>
      <c r="H833" s="37"/>
      <c r="I833" s="4">
        <v>-3.0000000000000001E-3</v>
      </c>
      <c r="J833" s="4">
        <f t="shared" si="473"/>
        <v>0.2157700474016524</v>
      </c>
      <c r="K833" s="40">
        <f t="shared" si="469"/>
        <v>121.57700474016526</v>
      </c>
      <c r="L833" s="37"/>
      <c r="M833" s="4">
        <v>-4.4999999999999997E-3</v>
      </c>
      <c r="N833" s="4">
        <f t="shared" ref="N833:N838" si="476">(N832+1)*(M833+1)-1</f>
        <v>0.39353197309194909</v>
      </c>
      <c r="O833" s="40">
        <f t="shared" si="470"/>
        <v>139.35319730919485</v>
      </c>
    </row>
    <row r="834" spans="1:15" ht="13.5" x14ac:dyDescent="0.25">
      <c r="A834" s="2">
        <v>44165</v>
      </c>
      <c r="B834" s="49">
        <v>2037156.53</v>
      </c>
      <c r="C834" s="6">
        <v>4</v>
      </c>
      <c r="D834" s="37"/>
      <c r="E834" s="4">
        <v>8.6999999999999994E-3</v>
      </c>
      <c r="F834" s="4">
        <f t="shared" si="472"/>
        <v>0.14586767531781164</v>
      </c>
      <c r="G834" s="40">
        <f t="shared" si="468"/>
        <v>114.58676753178109</v>
      </c>
      <c r="H834" s="37"/>
      <c r="I834" s="4">
        <v>8.6999999999999994E-3</v>
      </c>
      <c r="J834" s="4">
        <f t="shared" si="473"/>
        <v>0.22634724681404661</v>
      </c>
      <c r="K834" s="40">
        <f t="shared" si="469"/>
        <v>122.63472468140469</v>
      </c>
      <c r="L834" s="37"/>
      <c r="M834" s="4">
        <v>9.7999999999999997E-3</v>
      </c>
      <c r="N834" s="4">
        <f t="shared" si="476"/>
        <v>0.40718858642825029</v>
      </c>
      <c r="O834" s="40">
        <f t="shared" si="470"/>
        <v>140.71885864282496</v>
      </c>
    </row>
    <row r="835" spans="1:15" ht="13.5" x14ac:dyDescent="0.25">
      <c r="A835" s="2">
        <v>44196</v>
      </c>
      <c r="B835" s="49">
        <v>3005362.86</v>
      </c>
      <c r="C835" s="6">
        <v>4</v>
      </c>
      <c r="D835" s="36">
        <f>(1+E833)*(1+E834)*(1+E835)-1</f>
        <v>8.8864077599999369E-3</v>
      </c>
      <c r="E835" s="4">
        <v>4.0000000000000001E-3</v>
      </c>
      <c r="F835" s="4">
        <f t="shared" si="472"/>
        <v>0.15045114601908294</v>
      </c>
      <c r="G835" s="40">
        <f t="shared" si="468"/>
        <v>115.04511460190821</v>
      </c>
      <c r="H835" s="36">
        <f>(1+I833)*(1+I834)*(1+I835)-1</f>
        <v>1.0400567329999832E-2</v>
      </c>
      <c r="I835" s="4">
        <v>4.7000000000000002E-3</v>
      </c>
      <c r="J835" s="4">
        <f t="shared" si="473"/>
        <v>0.23211107887407256</v>
      </c>
      <c r="K835" s="40">
        <f t="shared" si="469"/>
        <v>123.21110788740728</v>
      </c>
      <c r="L835" s="36">
        <f>(1+M833)*(1+M834)*(1+M835)-1</f>
        <v>6.6632582600001378E-3</v>
      </c>
      <c r="M835" s="4">
        <v>1.4E-3</v>
      </c>
      <c r="N835" s="4">
        <f t="shared" si="476"/>
        <v>0.40915865044924993</v>
      </c>
      <c r="O835" s="40">
        <f t="shared" si="470"/>
        <v>140.91586504492491</v>
      </c>
    </row>
    <row r="836" spans="1:15" ht="13.5" x14ac:dyDescent="0.25">
      <c r="A836" s="2">
        <v>44227</v>
      </c>
      <c r="B836" s="49">
        <v>3004201.48</v>
      </c>
      <c r="C836" s="6">
        <v>4</v>
      </c>
      <c r="D836" s="37"/>
      <c r="E836" s="4">
        <v>-4.0000000000000002E-4</v>
      </c>
      <c r="F836" s="4">
        <f t="shared" si="472"/>
        <v>0.14999096556067526</v>
      </c>
      <c r="G836" s="40">
        <f t="shared" si="468"/>
        <v>114.99909655606746</v>
      </c>
      <c r="H836" s="37"/>
      <c r="I836" s="4">
        <v>2.0000000000000001E-4</v>
      </c>
      <c r="J836" s="4">
        <f t="shared" si="473"/>
        <v>0.23235750108984732</v>
      </c>
      <c r="K836" s="40">
        <f t="shared" si="469"/>
        <v>123.23575010898476</v>
      </c>
      <c r="L836" s="37"/>
      <c r="M836" s="4">
        <v>-7.1999999999999998E-3</v>
      </c>
      <c r="N836" s="4">
        <f t="shared" si="476"/>
        <v>0.39901270816601531</v>
      </c>
      <c r="O836" s="40">
        <f t="shared" si="470"/>
        <v>139.90127081660145</v>
      </c>
    </row>
    <row r="837" spans="1:15" ht="13.5" x14ac:dyDescent="0.25">
      <c r="A837" s="2">
        <v>44255</v>
      </c>
      <c r="B837" s="49">
        <v>2996467.8</v>
      </c>
      <c r="C837" s="6">
        <v>4</v>
      </c>
      <c r="D837" s="37"/>
      <c r="E837" s="4">
        <v>-2.5999999999999999E-3</v>
      </c>
      <c r="F837" s="4">
        <f t="shared" si="472"/>
        <v>0.14700098905021752</v>
      </c>
      <c r="G837" s="40">
        <f t="shared" si="468"/>
        <v>114.70009890502168</v>
      </c>
      <c r="H837" s="37"/>
      <c r="I837" s="4">
        <v>-2.5999999999999999E-3</v>
      </c>
      <c r="J837" s="4">
        <f t="shared" si="473"/>
        <v>0.22915337158701377</v>
      </c>
      <c r="K837" s="40">
        <f t="shared" si="469"/>
        <v>122.91533715870139</v>
      </c>
      <c r="L837" s="37"/>
      <c r="M837" s="4">
        <v>-1.44E-2</v>
      </c>
      <c r="N837" s="4">
        <f t="shared" si="476"/>
        <v>0.37886692516842468</v>
      </c>
      <c r="O837" s="40">
        <f t="shared" si="470"/>
        <v>137.8866925168424</v>
      </c>
    </row>
    <row r="838" spans="1:15" ht="13.5" x14ac:dyDescent="0.25">
      <c r="A838" s="2">
        <v>44286</v>
      </c>
      <c r="B838" s="49">
        <v>2870427.61</v>
      </c>
      <c r="C838" s="6">
        <v>3</v>
      </c>
      <c r="D838" s="36">
        <f>(1+E836)*(1+E837)*(1+E838)-1</f>
        <v>-6.289063431999975E-3</v>
      </c>
      <c r="E838" s="4">
        <v>-3.3E-3</v>
      </c>
      <c r="F838" s="4">
        <f t="shared" si="472"/>
        <v>0.14321588578635192</v>
      </c>
      <c r="G838" s="40">
        <f t="shared" si="468"/>
        <v>114.3215885786351</v>
      </c>
      <c r="H838" s="36">
        <f>(1+I836)*(1+I837)*(1+I838)-1</f>
        <v>-4.5952388559999946E-3</v>
      </c>
      <c r="I838" s="4">
        <v>-2.2000000000000001E-3</v>
      </c>
      <c r="J838" s="4">
        <f t="shared" si="473"/>
        <v>0.22644923416952234</v>
      </c>
      <c r="K838" s="40">
        <f t="shared" si="469"/>
        <v>122.64492341695225</v>
      </c>
      <c r="L838" s="36">
        <f>(1+M836)*(1+M837)*(1+M838)-1</f>
        <v>-3.3727615999999849E-2</v>
      </c>
      <c r="M838" s="4">
        <v>-1.2500000000000001E-2</v>
      </c>
      <c r="N838" s="4">
        <f t="shared" si="476"/>
        <v>0.36163108860381943</v>
      </c>
      <c r="O838" s="40">
        <f t="shared" si="470"/>
        <v>136.16310886038187</v>
      </c>
    </row>
    <row r="839" spans="1:15" ht="13.5" x14ac:dyDescent="0.25">
      <c r="A839" s="2">
        <v>44316</v>
      </c>
      <c r="B839" s="49">
        <v>2862587.86</v>
      </c>
      <c r="C839" s="6">
        <v>3</v>
      </c>
      <c r="D839" s="37"/>
      <c r="E839" s="4">
        <v>4.1999999999999997E-3</v>
      </c>
      <c r="F839" s="4">
        <f t="shared" si="472"/>
        <v>0.14801739250665458</v>
      </c>
      <c r="G839" s="40">
        <f t="shared" si="468"/>
        <v>114.80173925066536</v>
      </c>
      <c r="H839" s="37"/>
      <c r="I839" s="4">
        <v>4.7999999999999996E-3</v>
      </c>
      <c r="J839" s="4">
        <f t="shared" si="473"/>
        <v>0.23233619049353593</v>
      </c>
      <c r="K839" s="40">
        <f t="shared" si="469"/>
        <v>123.23361904935361</v>
      </c>
      <c r="L839" s="37"/>
      <c r="M839" s="4">
        <v>7.9000000000000008E-3</v>
      </c>
      <c r="N839" s="4">
        <f t="shared" ref="N839:N847" si="477">(N838+1)*(M839+1)-1</f>
        <v>0.37238797420378966</v>
      </c>
      <c r="O839" s="40">
        <f t="shared" si="470"/>
        <v>137.23879742037889</v>
      </c>
    </row>
    <row r="840" spans="1:15" ht="13.5" x14ac:dyDescent="0.25">
      <c r="A840" s="2">
        <v>44347</v>
      </c>
      <c r="B840" s="49">
        <v>2872749.64</v>
      </c>
      <c r="C840" s="6">
        <v>3</v>
      </c>
      <c r="D840" s="37"/>
      <c r="E840" s="4">
        <v>3.5000000000000001E-3</v>
      </c>
      <c r="F840" s="4">
        <f t="shared" si="472"/>
        <v>0.15203545338042801</v>
      </c>
      <c r="G840" s="40">
        <f t="shared" si="468"/>
        <v>115.2035453380427</v>
      </c>
      <c r="H840" s="37"/>
      <c r="I840" s="4">
        <v>3.5000000000000001E-3</v>
      </c>
      <c r="J840" s="4">
        <f t="shared" si="473"/>
        <v>0.23664936716026341</v>
      </c>
      <c r="K840" s="40">
        <f t="shared" si="469"/>
        <v>123.66493671602635</v>
      </c>
      <c r="L840" s="37"/>
      <c r="M840" s="4">
        <v>3.3E-3</v>
      </c>
      <c r="N840" s="4">
        <f t="shared" si="477"/>
        <v>0.3769168545186623</v>
      </c>
      <c r="O840" s="40">
        <f t="shared" si="470"/>
        <v>137.69168545186614</v>
      </c>
    </row>
    <row r="841" spans="1:15" ht="13.5" x14ac:dyDescent="0.25">
      <c r="A841" s="2">
        <v>44377</v>
      </c>
      <c r="B841" s="49">
        <v>2875213.47</v>
      </c>
      <c r="C841" s="6">
        <v>3</v>
      </c>
      <c r="D841" s="36">
        <f>(1+E839)*(1+E840)*(1+E841)-1</f>
        <v>8.6216432299999202E-3</v>
      </c>
      <c r="E841" s="4">
        <v>8.9999999999999998E-4</v>
      </c>
      <c r="F841" s="4">
        <f t="shared" si="472"/>
        <v>0.15307228528847028</v>
      </c>
      <c r="G841" s="40">
        <f t="shared" si="468"/>
        <v>115.30722852884693</v>
      </c>
      <c r="H841" s="36">
        <f>(1+I839)*(1+I840)*(1+I841)-1</f>
        <v>9.3251167999999218E-3</v>
      </c>
      <c r="I841" s="4">
        <v>1E-3</v>
      </c>
      <c r="J841" s="4">
        <f t="shared" si="473"/>
        <v>0.23788601652742347</v>
      </c>
      <c r="K841" s="40">
        <f t="shared" si="469"/>
        <v>123.78860165274236</v>
      </c>
      <c r="L841" s="36">
        <f>(1+M839)*(1+M840)*(1+M841)-1</f>
        <v>1.8304652490000128E-2</v>
      </c>
      <c r="M841" s="4">
        <v>7.0000000000000001E-3</v>
      </c>
      <c r="N841" s="4">
        <f t="shared" si="477"/>
        <v>0.38655527250029276</v>
      </c>
      <c r="O841" s="40">
        <f t="shared" si="470"/>
        <v>138.65552725002919</v>
      </c>
    </row>
    <row r="842" spans="1:15" ht="13.5" x14ac:dyDescent="0.25">
      <c r="A842" s="2">
        <v>44408</v>
      </c>
      <c r="B842" s="49">
        <v>2884129.6</v>
      </c>
      <c r="C842" s="6">
        <v>3</v>
      </c>
      <c r="D842" s="37"/>
      <c r="E842" s="4">
        <v>3.0999999999999999E-3</v>
      </c>
      <c r="F842" s="4">
        <f t="shared" si="472"/>
        <v>0.15664680937286457</v>
      </c>
      <c r="G842" s="40">
        <f t="shared" si="468"/>
        <v>115.66468093728638</v>
      </c>
      <c r="H842" s="37"/>
      <c r="I842" s="4">
        <v>3.7000000000000002E-3</v>
      </c>
      <c r="J842" s="4">
        <f t="shared" si="473"/>
        <v>0.2424661947885749</v>
      </c>
      <c r="K842" s="40">
        <f t="shared" si="469"/>
        <v>124.24661947885751</v>
      </c>
      <c r="L842" s="37"/>
      <c r="M842" s="4">
        <v>1.12E-2</v>
      </c>
      <c r="N842" s="4">
        <f t="shared" si="477"/>
        <v>0.4020846915522962</v>
      </c>
      <c r="O842" s="40">
        <f t="shared" si="470"/>
        <v>140.20846915522952</v>
      </c>
    </row>
    <row r="843" spans="1:15" ht="13.5" x14ac:dyDescent="0.25">
      <c r="A843" s="2">
        <v>44439</v>
      </c>
      <c r="B843" s="49">
        <v>2882485.91</v>
      </c>
      <c r="C843" s="6">
        <v>3</v>
      </c>
      <c r="D843" s="37"/>
      <c r="E843" s="4">
        <v>-5.9999999999999995E-4</v>
      </c>
      <c r="F843" s="4">
        <f t="shared" si="472"/>
        <v>0.15595282128724075</v>
      </c>
      <c r="G843" s="40">
        <f t="shared" si="468"/>
        <v>115.59528212872399</v>
      </c>
      <c r="H843" s="37"/>
      <c r="I843" s="4">
        <v>-5.9999999999999995E-4</v>
      </c>
      <c r="J843" s="4">
        <f t="shared" si="473"/>
        <v>0.24172071507170179</v>
      </c>
      <c r="K843" s="40">
        <f t="shared" si="469"/>
        <v>124.17207150717019</v>
      </c>
      <c r="L843" s="37"/>
      <c r="M843" s="4">
        <v>-1.9E-3</v>
      </c>
      <c r="N843" s="4">
        <f t="shared" si="477"/>
        <v>0.39942073063834682</v>
      </c>
      <c r="O843" s="40">
        <f t="shared" si="470"/>
        <v>139.94207306383458</v>
      </c>
    </row>
    <row r="844" spans="1:15" ht="13.5" x14ac:dyDescent="0.25">
      <c r="A844" s="2">
        <v>44469</v>
      </c>
      <c r="B844" s="49">
        <v>2871854.33</v>
      </c>
      <c r="C844" s="6">
        <v>3</v>
      </c>
      <c r="D844" s="36">
        <f>(1+E842)*(1+E843)*(1+E844)-1</f>
        <v>-1.2111031179998788E-3</v>
      </c>
      <c r="E844" s="4">
        <v>-3.7000000000000002E-3</v>
      </c>
      <c r="F844" s="4">
        <f t="shared" si="472"/>
        <v>0.15167579584847801</v>
      </c>
      <c r="G844" s="40">
        <f t="shared" si="468"/>
        <v>115.16757958484772</v>
      </c>
      <c r="H844" s="36">
        <f>(1+I842)*(1+I843)*(1+I844)-1</f>
        <v>1.8879643800007173E-4</v>
      </c>
      <c r="I844" s="4">
        <v>-2.8999999999999998E-3</v>
      </c>
      <c r="J844" s="4">
        <f t="shared" si="473"/>
        <v>0.23811972499799383</v>
      </c>
      <c r="K844" s="40">
        <f t="shared" si="469"/>
        <v>123.8119724997994</v>
      </c>
      <c r="L844" s="36">
        <f>(1+M842)*(1+M843)*(1+M844)-1</f>
        <v>4.9799513600023992E-4</v>
      </c>
      <c r="M844" s="4">
        <v>-8.6999999999999994E-3</v>
      </c>
      <c r="N844" s="4">
        <f t="shared" si="477"/>
        <v>0.38724577028179308</v>
      </c>
      <c r="O844" s="40">
        <f t="shared" si="470"/>
        <v>138.72457702817923</v>
      </c>
    </row>
    <row r="845" spans="1:15" ht="13.5" x14ac:dyDescent="0.25">
      <c r="A845" s="2">
        <v>44500</v>
      </c>
      <c r="B845" s="49">
        <v>2866958.03</v>
      </c>
      <c r="C845" s="6">
        <v>3</v>
      </c>
      <c r="D845" s="37"/>
      <c r="E845" s="4">
        <v>-1.6999999999999999E-3</v>
      </c>
      <c r="F845" s="4">
        <f t="shared" si="472"/>
        <v>0.14971794699553564</v>
      </c>
      <c r="G845" s="40">
        <f t="shared" si="468"/>
        <v>114.97179469955347</v>
      </c>
      <c r="H845" s="37"/>
      <c r="I845" s="4">
        <v>-1.1000000000000001E-3</v>
      </c>
      <c r="J845" s="4">
        <f t="shared" si="473"/>
        <v>0.23675779330049607</v>
      </c>
      <c r="K845" s="40">
        <f t="shared" si="469"/>
        <v>123.67577933004962</v>
      </c>
      <c r="L845" s="37"/>
      <c r="M845" s="4">
        <v>-2.9999999999999997E-4</v>
      </c>
      <c r="N845" s="4">
        <f t="shared" si="477"/>
        <v>0.38682959655070848</v>
      </c>
      <c r="O845" s="40">
        <f t="shared" si="470"/>
        <v>138.68295965507079</v>
      </c>
    </row>
    <row r="846" spans="1:15" ht="13.5" x14ac:dyDescent="0.25">
      <c r="A846" s="2">
        <v>44530</v>
      </c>
      <c r="B846" s="49">
        <v>2906088.29</v>
      </c>
      <c r="C846" s="6">
        <v>3</v>
      </c>
      <c r="D846" s="37"/>
      <c r="E846" s="4">
        <v>-1.2999999999999999E-3</v>
      </c>
      <c r="F846" s="4">
        <f t="shared" si="472"/>
        <v>0.14822331366444153</v>
      </c>
      <c r="G846" s="40">
        <f t="shared" si="468"/>
        <v>114.82233136644406</v>
      </c>
      <c r="H846" s="37"/>
      <c r="I846" s="4">
        <v>-1.2999999999999999E-3</v>
      </c>
      <c r="J846" s="4">
        <f t="shared" si="473"/>
        <v>0.2351500081692055</v>
      </c>
      <c r="K846" s="40">
        <f t="shared" si="469"/>
        <v>123.51500081692056</v>
      </c>
      <c r="L846" s="37"/>
      <c r="M846" s="4">
        <v>3.0000000000000001E-3</v>
      </c>
      <c r="N846" s="4">
        <f t="shared" si="477"/>
        <v>0.3909900853403605</v>
      </c>
      <c r="O846" s="40">
        <f t="shared" si="470"/>
        <v>139.09900853403599</v>
      </c>
    </row>
    <row r="847" spans="1:15" ht="13.5" x14ac:dyDescent="0.25">
      <c r="A847" s="2">
        <v>44561</v>
      </c>
      <c r="B847" s="49">
        <v>2898058.53</v>
      </c>
      <c r="C847" s="6">
        <v>3</v>
      </c>
      <c r="D847" s="36">
        <f>(1+E845)*(1+E846)*(1+E847)-1</f>
        <v>-5.7893961880000067E-3</v>
      </c>
      <c r="E847" s="4">
        <v>-2.8E-3</v>
      </c>
      <c r="F847" s="4">
        <f t="shared" si="472"/>
        <v>0.14500828838618096</v>
      </c>
      <c r="G847" s="40">
        <f t="shared" si="468"/>
        <v>114.50082883861802</v>
      </c>
      <c r="H847" s="36">
        <f>(1+I845)*(1+I846)*(1+I847)-1</f>
        <v>-4.3937728599999781E-3</v>
      </c>
      <c r="I847" s="4">
        <v>-2E-3</v>
      </c>
      <c r="J847" s="4">
        <f t="shared" si="473"/>
        <v>0.23267970815286709</v>
      </c>
      <c r="K847" s="40">
        <f t="shared" si="469"/>
        <v>123.26797081528672</v>
      </c>
      <c r="L847" s="36">
        <f>(1+M845)*(1+M846)*(1+M847)-1</f>
        <v>9.2082339999688401E-5</v>
      </c>
      <c r="M847" s="4">
        <v>-2.5999999999999999E-3</v>
      </c>
      <c r="N847" s="4">
        <f t="shared" si="477"/>
        <v>0.38737351111847551</v>
      </c>
      <c r="O847" s="40">
        <f t="shared" si="470"/>
        <v>138.73735111184749</v>
      </c>
    </row>
    <row r="848" spans="1:15" ht="13.5" x14ac:dyDescent="0.25">
      <c r="A848" s="2">
        <v>44592</v>
      </c>
      <c r="B848" s="49">
        <v>2865538.92</v>
      </c>
      <c r="C848" s="6">
        <v>3</v>
      </c>
      <c r="D848" s="37"/>
      <c r="E848" s="4">
        <v>-1.12E-2</v>
      </c>
      <c r="F848" s="4">
        <f t="shared" si="472"/>
        <v>0.13218419555625571</v>
      </c>
      <c r="G848" s="40">
        <f t="shared" si="468"/>
        <v>113.2184195556255</v>
      </c>
      <c r="H848" s="37"/>
      <c r="I848" s="4">
        <v>-1.06E-2</v>
      </c>
      <c r="J848" s="4">
        <f t="shared" si="473"/>
        <v>0.21961330324644668</v>
      </c>
      <c r="K848" s="40">
        <f t="shared" si="469"/>
        <v>121.96133032464468</v>
      </c>
      <c r="L848" s="37"/>
      <c r="M848" s="4">
        <v>-2.1499999999999998E-2</v>
      </c>
      <c r="N848" s="4">
        <f t="shared" ref="N848:N853" si="478">(N847+1)*(M848+1)-1</f>
        <v>0.35754498062942841</v>
      </c>
      <c r="O848" s="40">
        <f t="shared" si="470"/>
        <v>135.75449806294276</v>
      </c>
    </row>
    <row r="849" spans="1:15" ht="13.5" x14ac:dyDescent="0.25">
      <c r="A849" s="2">
        <v>44620</v>
      </c>
      <c r="B849" s="49">
        <v>2854498.49</v>
      </c>
      <c r="C849" s="6">
        <v>3</v>
      </c>
      <c r="D849" s="37"/>
      <c r="E849" s="4">
        <v>-3.8999999999999998E-3</v>
      </c>
      <c r="F849" s="4">
        <f t="shared" si="472"/>
        <v>0.1277686771935862</v>
      </c>
      <c r="G849" s="40">
        <f t="shared" si="468"/>
        <v>112.77686771935856</v>
      </c>
      <c r="H849" s="37"/>
      <c r="I849" s="4">
        <v>-3.8999999999999998E-3</v>
      </c>
      <c r="J849" s="4">
        <f t="shared" si="473"/>
        <v>0.21485681136378543</v>
      </c>
      <c r="K849" s="40">
        <f t="shared" si="469"/>
        <v>121.48568113637856</v>
      </c>
      <c r="L849" s="37"/>
      <c r="M849" s="4">
        <v>-1.12E-2</v>
      </c>
      <c r="N849" s="4">
        <f t="shared" si="478"/>
        <v>0.34234047684637892</v>
      </c>
      <c r="O849" s="40">
        <f t="shared" si="470"/>
        <v>134.2340476846378</v>
      </c>
    </row>
    <row r="850" spans="1:15" ht="13.5" x14ac:dyDescent="0.25">
      <c r="A850" s="2">
        <v>44651</v>
      </c>
      <c r="B850" s="49">
        <v>2811948.84</v>
      </c>
      <c r="C850" s="6">
        <v>3</v>
      </c>
      <c r="D850" s="36">
        <f>(1+E848)*(1+E849)*(1+E850)-1</f>
        <v>-2.9731980832000016E-2</v>
      </c>
      <c r="E850" s="4">
        <v>-1.49E-2</v>
      </c>
      <c r="F850" s="4">
        <f t="shared" si="472"/>
        <v>0.11096492390340185</v>
      </c>
      <c r="G850" s="40">
        <f t="shared" si="468"/>
        <v>111.09649239034012</v>
      </c>
      <c r="H850" s="36">
        <f>(1+I848)*(1+I849)*(1+I850)-1</f>
        <v>-2.8354792894000114E-2</v>
      </c>
      <c r="I850" s="4">
        <v>-1.41E-2</v>
      </c>
      <c r="J850" s="4">
        <f t="shared" si="473"/>
        <v>0.19772733032355605</v>
      </c>
      <c r="K850" s="40">
        <f t="shared" si="469"/>
        <v>119.77273303235562</v>
      </c>
      <c r="L850" s="36">
        <f>(1+M848)*(1+M849)*(1+M850)-1</f>
        <v>-5.9356834239999934E-2</v>
      </c>
      <c r="M850" s="4">
        <v>-2.7799999999999998E-2</v>
      </c>
      <c r="N850" s="4">
        <f t="shared" si="478"/>
        <v>0.30502341159004942</v>
      </c>
      <c r="O850" s="40">
        <f t="shared" si="470"/>
        <v>130.50234115900486</v>
      </c>
    </row>
    <row r="851" spans="1:15" ht="13.5" x14ac:dyDescent="0.25">
      <c r="A851" s="2">
        <v>44681</v>
      </c>
      <c r="B851" s="49">
        <v>2777869.75</v>
      </c>
      <c r="C851" s="6">
        <v>3</v>
      </c>
      <c r="D851" s="37"/>
      <c r="E851" s="4">
        <v>-1.21E-2</v>
      </c>
      <c r="F851" s="4">
        <f t="shared" si="472"/>
        <v>9.7522248324170668E-2</v>
      </c>
      <c r="G851" s="40">
        <f t="shared" si="468"/>
        <v>109.752224832417</v>
      </c>
      <c r="H851" s="37"/>
      <c r="I851" s="4">
        <v>-1.15E-2</v>
      </c>
      <c r="J851" s="4">
        <f t="shared" si="473"/>
        <v>0.1839534660248352</v>
      </c>
      <c r="K851" s="40">
        <f t="shared" si="469"/>
        <v>118.39534660248353</v>
      </c>
      <c r="L851" s="37"/>
      <c r="M851" s="4">
        <v>-3.7900000000000003E-2</v>
      </c>
      <c r="N851" s="4">
        <f t="shared" si="478"/>
        <v>0.25556302429078648</v>
      </c>
      <c r="O851" s="40">
        <f t="shared" si="470"/>
        <v>125.55630242907857</v>
      </c>
    </row>
    <row r="852" spans="1:15" ht="13.5" x14ac:dyDescent="0.25">
      <c r="A852" s="2">
        <v>44712</v>
      </c>
      <c r="B852" s="49">
        <v>2791987.28</v>
      </c>
      <c r="C852" s="6">
        <v>3</v>
      </c>
      <c r="D852" s="37"/>
      <c r="E852" s="4">
        <v>5.1000000000000004E-3</v>
      </c>
      <c r="F852" s="4">
        <f t="shared" si="472"/>
        <v>0.10311961179062412</v>
      </c>
      <c r="G852" s="40">
        <f t="shared" si="468"/>
        <v>110.31196117906234</v>
      </c>
      <c r="H852" s="37"/>
      <c r="I852" s="4">
        <v>5.1000000000000004E-3</v>
      </c>
      <c r="J852" s="4">
        <f t="shared" si="473"/>
        <v>0.18999162870156194</v>
      </c>
      <c r="K852" s="40">
        <f t="shared" si="469"/>
        <v>118.99916287015621</v>
      </c>
      <c r="L852" s="37"/>
      <c r="M852" s="4">
        <v>6.4000000000000003E-3</v>
      </c>
      <c r="N852" s="4">
        <f t="shared" si="478"/>
        <v>0.26359862764624742</v>
      </c>
      <c r="O852" s="40">
        <f t="shared" si="470"/>
        <v>126.35986276462467</v>
      </c>
    </row>
    <row r="853" spans="1:15" ht="13.5" x14ac:dyDescent="0.25">
      <c r="A853" s="2">
        <v>44742</v>
      </c>
      <c r="B853" s="49">
        <v>2727895.45</v>
      </c>
      <c r="C853" s="6">
        <v>3</v>
      </c>
      <c r="D853" s="36">
        <f>(1+E851)*(1+E852)*(1+E853)-1</f>
        <v>-1.9175557137999899E-2</v>
      </c>
      <c r="E853" s="4">
        <v>-1.2200000000000001E-2</v>
      </c>
      <c r="F853" s="4">
        <f t="shared" si="472"/>
        <v>8.9661552526778543E-2</v>
      </c>
      <c r="G853" s="40">
        <f t="shared" si="468"/>
        <v>108.96615525267778</v>
      </c>
      <c r="H853" s="36">
        <f>(1+I851)*(1+I852)*(1+I853)-1</f>
        <v>-1.7785021389999822E-2</v>
      </c>
      <c r="I853" s="4">
        <v>-1.14E-2</v>
      </c>
      <c r="J853" s="4">
        <f t="shared" si="473"/>
        <v>0.17642572413436408</v>
      </c>
      <c r="K853" s="40">
        <f t="shared" si="469"/>
        <v>117.64257241343644</v>
      </c>
      <c r="L853" s="36">
        <f>(1+M851)*(1+M852)*(1+M853)-1</f>
        <v>-4.6944201808000185E-2</v>
      </c>
      <c r="M853" s="4">
        <v>-1.5699999999999999E-2</v>
      </c>
      <c r="N853" s="4">
        <f t="shared" si="478"/>
        <v>0.24376012919220136</v>
      </c>
      <c r="O853" s="40">
        <f t="shared" si="470"/>
        <v>124.37601291922005</v>
      </c>
    </row>
    <row r="854" spans="1:15" ht="13.5" x14ac:dyDescent="0.25">
      <c r="A854" s="2">
        <v>44773</v>
      </c>
      <c r="B854" s="49">
        <v>2755301.04</v>
      </c>
      <c r="C854" s="6">
        <v>3</v>
      </c>
      <c r="D854" s="37"/>
      <c r="E854" s="4">
        <v>0.01</v>
      </c>
      <c r="F854" s="4">
        <f t="shared" si="472"/>
        <v>0.10055816805204643</v>
      </c>
      <c r="G854" s="40">
        <f t="shared" si="468"/>
        <v>110.05581680520456</v>
      </c>
      <c r="H854" s="37"/>
      <c r="I854" s="4">
        <v>1.06E-2</v>
      </c>
      <c r="J854" s="4">
        <f t="shared" si="473"/>
        <v>0.18889583681018829</v>
      </c>
      <c r="K854" s="40">
        <f t="shared" si="469"/>
        <v>118.88958368101886</v>
      </c>
      <c r="L854" s="37"/>
      <c r="M854" s="4">
        <v>2.4400000000000002E-2</v>
      </c>
      <c r="N854" s="4">
        <f t="shared" ref="N854:N861" si="479">(N853+1)*(M854+1)-1</f>
        <v>0.27410787634449107</v>
      </c>
      <c r="O854" s="40">
        <f t="shared" si="470"/>
        <v>127.41078763444901</v>
      </c>
    </row>
    <row r="855" spans="1:15" ht="13.5" x14ac:dyDescent="0.25">
      <c r="A855" s="2">
        <v>44804</v>
      </c>
      <c r="B855" s="49">
        <v>2723645.59</v>
      </c>
      <c r="C855" s="6">
        <v>3</v>
      </c>
      <c r="D855" s="37"/>
      <c r="E855" s="4">
        <v>-1.15E-2</v>
      </c>
      <c r="F855" s="4">
        <f t="shared" si="472"/>
        <v>8.7901749119448036E-2</v>
      </c>
      <c r="G855" s="40">
        <f t="shared" si="468"/>
        <v>108.7901749119447</v>
      </c>
      <c r="H855" s="37"/>
      <c r="I855" s="4">
        <v>-1.15E-2</v>
      </c>
      <c r="J855" s="4">
        <f t="shared" si="473"/>
        <v>0.17522353468687113</v>
      </c>
      <c r="K855" s="40">
        <f t="shared" si="469"/>
        <v>117.52235346868716</v>
      </c>
      <c r="L855" s="37"/>
      <c r="M855" s="4">
        <v>-2.8299999999999999E-2</v>
      </c>
      <c r="N855" s="4">
        <f t="shared" si="479"/>
        <v>0.2380506234439419</v>
      </c>
      <c r="O855" s="40">
        <f t="shared" si="470"/>
        <v>123.8050623443941</v>
      </c>
    </row>
    <row r="856" spans="1:15" ht="13.5" x14ac:dyDescent="0.25">
      <c r="A856" s="2">
        <v>44834</v>
      </c>
      <c r="B856" s="49">
        <v>2661668.5499999998</v>
      </c>
      <c r="C856" s="6">
        <v>3</v>
      </c>
      <c r="D856" s="36">
        <f>(1+E854)*(1+E855)*(1+E856)-1</f>
        <v>-2.4378177999999973E-2</v>
      </c>
      <c r="E856" s="4">
        <v>-2.2800000000000001E-2</v>
      </c>
      <c r="F856" s="4">
        <f t="shared" si="472"/>
        <v>6.3097589239524465E-2</v>
      </c>
      <c r="G856" s="40">
        <f t="shared" si="468"/>
        <v>106.30975892395236</v>
      </c>
      <c r="H856" s="36">
        <f>(1+I854)*(1+I855)*(1+I856)-1</f>
        <v>-2.2999418200000066E-2</v>
      </c>
      <c r="I856" s="4">
        <v>-2.1999999999999999E-2</v>
      </c>
      <c r="J856" s="4">
        <f t="shared" si="473"/>
        <v>0.14936861692376002</v>
      </c>
      <c r="K856" s="40">
        <f t="shared" si="469"/>
        <v>114.93686169237604</v>
      </c>
      <c r="L856" s="36">
        <f>(1+M854)*(1+M855)*(1+M856)-1</f>
        <v>-4.7592209536000074E-2</v>
      </c>
      <c r="M856" s="4">
        <v>-4.3200000000000002E-2</v>
      </c>
      <c r="N856" s="4">
        <f t="shared" si="479"/>
        <v>0.18456683651116368</v>
      </c>
      <c r="O856" s="40">
        <f t="shared" si="470"/>
        <v>118.45668365111628</v>
      </c>
    </row>
    <row r="857" spans="1:15" ht="13.5" x14ac:dyDescent="0.25">
      <c r="A857" s="2">
        <v>44865</v>
      </c>
      <c r="B857" s="49">
        <v>3361847.89</v>
      </c>
      <c r="C857" s="6">
        <v>5</v>
      </c>
      <c r="D857" s="37"/>
      <c r="E857" s="4">
        <v>5.0000000000000001E-4</v>
      </c>
      <c r="F857" s="4">
        <f t="shared" si="472"/>
        <v>6.3629138034144272E-2</v>
      </c>
      <c r="G857" s="40">
        <f t="shared" si="468"/>
        <v>106.36291380341433</v>
      </c>
      <c r="H857" s="37"/>
      <c r="I857" s="4">
        <v>1.2999999999999999E-3</v>
      </c>
      <c r="J857" s="4">
        <f t="shared" si="473"/>
        <v>0.15086279612576092</v>
      </c>
      <c r="K857" s="40">
        <f t="shared" si="469"/>
        <v>115.08627961257613</v>
      </c>
      <c r="L857" s="37"/>
      <c r="M857" s="4">
        <v>-1.2999999999999999E-2</v>
      </c>
      <c r="N857" s="4">
        <f t="shared" si="479"/>
        <v>0.16916746763651846</v>
      </c>
      <c r="O857" s="40">
        <f t="shared" si="470"/>
        <v>116.91674676365177</v>
      </c>
    </row>
    <row r="858" spans="1:15" ht="13.5" x14ac:dyDescent="0.25">
      <c r="A858" s="2">
        <v>44895</v>
      </c>
      <c r="B858" s="49">
        <v>5649229.1500000004</v>
      </c>
      <c r="C858" s="6">
        <v>9</v>
      </c>
      <c r="D858" s="37"/>
      <c r="E858" s="4">
        <v>7.7999999999999996E-3</v>
      </c>
      <c r="F858" s="4">
        <f t="shared" si="472"/>
        <v>7.1925445310810687E-2</v>
      </c>
      <c r="G858" s="40">
        <f t="shared" si="468"/>
        <v>107.19254453108097</v>
      </c>
      <c r="H858" s="37"/>
      <c r="I858" s="4">
        <v>7.7999999999999996E-3</v>
      </c>
      <c r="J858" s="4">
        <f t="shared" si="473"/>
        <v>0.15983952593554185</v>
      </c>
      <c r="K858" s="40">
        <f t="shared" si="469"/>
        <v>115.98395259355424</v>
      </c>
      <c r="L858" s="37"/>
      <c r="M858" s="4">
        <v>3.6799999999999999E-2</v>
      </c>
      <c r="N858" s="4">
        <f t="shared" si="479"/>
        <v>0.21219283044554227</v>
      </c>
      <c r="O858" s="40">
        <f t="shared" si="470"/>
        <v>121.21928304455415</v>
      </c>
    </row>
    <row r="859" spans="1:15" ht="13.5" x14ac:dyDescent="0.25">
      <c r="A859" s="2">
        <v>44926</v>
      </c>
      <c r="B859" s="49">
        <v>5640220.2800000003</v>
      </c>
      <c r="C859" s="6">
        <v>9</v>
      </c>
      <c r="D859" s="36">
        <f>(1+E857)*(1+E858)*(1+E859)-1</f>
        <v>9.0097127299999524E-3</v>
      </c>
      <c r="E859" s="4">
        <v>6.9999999999999999E-4</v>
      </c>
      <c r="F859" s="4">
        <f t="shared" si="472"/>
        <v>7.2675793122528143E-2</v>
      </c>
      <c r="G859" s="40">
        <f t="shared" si="468"/>
        <v>107.26757931225272</v>
      </c>
      <c r="H859" s="36">
        <f>(1+I857)*(1+I858)*(1+I859)-1</f>
        <v>1.0220161154000262E-2</v>
      </c>
      <c r="I859" s="4">
        <v>1.1000000000000001E-3</v>
      </c>
      <c r="J859" s="4">
        <f t="shared" si="473"/>
        <v>0.16111534941407113</v>
      </c>
      <c r="K859" s="40">
        <f t="shared" si="469"/>
        <v>116.11153494140716</v>
      </c>
      <c r="L859" s="36">
        <f>(1+M857)*(1+M858)*(1+M859)-1</f>
        <v>1.8716652799999789E-2</v>
      </c>
      <c r="M859" s="4">
        <v>-4.4999999999999997E-3</v>
      </c>
      <c r="N859" s="4">
        <f t="shared" si="479"/>
        <v>0.20673796270853728</v>
      </c>
      <c r="O859" s="40">
        <f t="shared" si="470"/>
        <v>120.67379627085366</v>
      </c>
    </row>
    <row r="860" spans="1:15" ht="13.5" x14ac:dyDescent="0.25">
      <c r="A860" s="2">
        <v>44957</v>
      </c>
      <c r="B860" s="49">
        <v>4739249.88</v>
      </c>
      <c r="C860" s="6">
        <v>8</v>
      </c>
      <c r="D860" s="37"/>
      <c r="E860" s="4">
        <v>8.9999999999999993E-3</v>
      </c>
      <c r="F860" s="4">
        <f t="shared" si="472"/>
        <v>8.2329875260630736E-2</v>
      </c>
      <c r="G860" s="40">
        <f t="shared" si="468"/>
        <v>108.23298752606298</v>
      </c>
      <c r="H860" s="37"/>
      <c r="I860" s="4">
        <v>9.7999999999999997E-3</v>
      </c>
      <c r="J860" s="4">
        <f t="shared" si="473"/>
        <v>0.1724942798383291</v>
      </c>
      <c r="K860" s="40">
        <f t="shared" si="469"/>
        <v>117.24942798383294</v>
      </c>
      <c r="L860" s="37"/>
      <c r="M860" s="4">
        <v>3.0800000000000001E-2</v>
      </c>
      <c r="N860" s="4">
        <f t="shared" si="479"/>
        <v>0.24390549195996014</v>
      </c>
      <c r="O860" s="40">
        <f t="shared" si="470"/>
        <v>124.39054919599594</v>
      </c>
    </row>
    <row r="861" spans="1:15" ht="13.5" x14ac:dyDescent="0.25">
      <c r="A861" s="2">
        <v>44985</v>
      </c>
      <c r="B861" s="49">
        <v>6026879.8300000001</v>
      </c>
      <c r="C861" s="6">
        <v>9</v>
      </c>
      <c r="D861" s="37"/>
      <c r="E861" s="4">
        <v>-2.8999999999999998E-3</v>
      </c>
      <c r="F861" s="4">
        <f t="shared" si="472"/>
        <v>7.9191118622374823E-2</v>
      </c>
      <c r="G861" s="40">
        <f t="shared" si="468"/>
        <v>107.9191118622374</v>
      </c>
      <c r="H861" s="37"/>
      <c r="I861" s="4">
        <v>-2.8999999999999998E-3</v>
      </c>
      <c r="J861" s="4">
        <f t="shared" si="473"/>
        <v>0.16909404642679804</v>
      </c>
      <c r="K861" s="40">
        <f t="shared" si="469"/>
        <v>116.90940464267983</v>
      </c>
      <c r="L861" s="37"/>
      <c r="M861" s="4">
        <v>-2.5899999999999999E-2</v>
      </c>
      <c r="N861" s="4">
        <f t="shared" si="479"/>
        <v>0.21168833971819723</v>
      </c>
      <c r="O861" s="40">
        <f t="shared" si="470"/>
        <v>121.16883397181965</v>
      </c>
    </row>
    <row r="862" spans="1:15" ht="13.5" x14ac:dyDescent="0.25">
      <c r="A862" s="2">
        <v>45016</v>
      </c>
      <c r="B862" s="49">
        <v>5862245.1399999997</v>
      </c>
      <c r="C862" s="6">
        <v>9</v>
      </c>
      <c r="D862" s="36">
        <f>(1+E860)*(1+E861)*(1+E862)-1</f>
        <v>1.2311558179999738E-2</v>
      </c>
      <c r="E862" s="4">
        <v>6.1999999999999998E-3</v>
      </c>
      <c r="F862" s="4">
        <f t="shared" si="472"/>
        <v>8.5882103557833434E-2</v>
      </c>
      <c r="G862" s="40">
        <f t="shared" si="468"/>
        <v>108.58821035578327</v>
      </c>
      <c r="H862" s="36">
        <f>(1+I860)*(1+I861)*(1+I862)-1</f>
        <v>1.3818993901999921E-2</v>
      </c>
      <c r="I862" s="4">
        <v>6.8999999999999999E-3</v>
      </c>
      <c r="J862" s="4">
        <f t="shared" si="473"/>
        <v>0.1771607953471428</v>
      </c>
      <c r="K862" s="40">
        <f t="shared" si="469"/>
        <v>117.71607953471431</v>
      </c>
      <c r="L862" s="36">
        <f>(1+M860)*(1+M861)*(1+M862)-1</f>
        <v>2.9606477911999995E-2</v>
      </c>
      <c r="M862" s="4">
        <v>2.5399999999999999E-2</v>
      </c>
      <c r="N862" s="4">
        <f t="shared" ref="N862:N868" si="480">(N861+1)*(M862+1)-1</f>
        <v>0.24246522354703948</v>
      </c>
      <c r="O862" s="40">
        <f t="shared" si="470"/>
        <v>124.24652235470388</v>
      </c>
    </row>
    <row r="863" spans="1:15" ht="13.5" x14ac:dyDescent="0.25">
      <c r="A863" s="2">
        <v>45046</v>
      </c>
      <c r="B863" s="49">
        <v>5575043.9800000004</v>
      </c>
      <c r="C863" s="6">
        <v>7</v>
      </c>
      <c r="D863" s="37"/>
      <c r="E863" s="4">
        <v>3.7000000000000002E-3</v>
      </c>
      <c r="F863" s="4">
        <f t="shared" si="472"/>
        <v>8.9899867340997419E-2</v>
      </c>
      <c r="G863" s="40">
        <f t="shared" si="468"/>
        <v>108.98998673409967</v>
      </c>
      <c r="H863" s="37"/>
      <c r="I863" s="4">
        <v>4.3E-3</v>
      </c>
      <c r="J863" s="4">
        <f t="shared" si="473"/>
        <v>0.18222258676713543</v>
      </c>
      <c r="K863" s="40">
        <f t="shared" si="469"/>
        <v>118.22225867671358</v>
      </c>
      <c r="L863" s="37"/>
      <c r="M863" s="4">
        <v>6.1000000000000004E-3</v>
      </c>
      <c r="N863" s="4">
        <f t="shared" si="480"/>
        <v>0.25004426141067637</v>
      </c>
      <c r="O863" s="40">
        <f t="shared" si="470"/>
        <v>125.00442614106758</v>
      </c>
    </row>
    <row r="864" spans="1:15" ht="13.5" x14ac:dyDescent="0.25">
      <c r="A864" s="2">
        <v>45077</v>
      </c>
      <c r="B864" s="49">
        <v>5737689.1299999999</v>
      </c>
      <c r="C864" s="6">
        <v>8</v>
      </c>
      <c r="D864" s="37"/>
      <c r="E864" s="4">
        <v>-1.8E-3</v>
      </c>
      <c r="F864" s="4">
        <f t="shared" si="472"/>
        <v>8.7938047579783518E-2</v>
      </c>
      <c r="G864" s="40">
        <f t="shared" si="468"/>
        <v>108.79380475797829</v>
      </c>
      <c r="H864" s="37"/>
      <c r="I864" s="4">
        <v>-1.8E-3</v>
      </c>
      <c r="J864" s="4">
        <f t="shared" si="473"/>
        <v>0.18009458611095464</v>
      </c>
      <c r="K864" s="40">
        <f t="shared" si="469"/>
        <v>118.0094586110955</v>
      </c>
      <c r="L864" s="37"/>
      <c r="M864" s="4">
        <v>-1.09E-2</v>
      </c>
      <c r="N864" s="4">
        <f t="shared" si="480"/>
        <v>0.23641877896129992</v>
      </c>
      <c r="O864" s="40">
        <f t="shared" si="470"/>
        <v>123.64187789612994</v>
      </c>
    </row>
    <row r="865" spans="1:15" ht="13.5" x14ac:dyDescent="0.25">
      <c r="A865" s="2">
        <v>45107</v>
      </c>
      <c r="B865" s="49">
        <v>5742397.9199999999</v>
      </c>
      <c r="C865" s="6">
        <v>8</v>
      </c>
      <c r="D865" s="36">
        <f>(1+E863)*(1+E864)*(1+E865)-1</f>
        <v>2.6948546720000355E-3</v>
      </c>
      <c r="E865" s="4">
        <v>8.0000000000000004E-4</v>
      </c>
      <c r="F865" s="4">
        <f t="shared" si="472"/>
        <v>8.8808398017847345E-2</v>
      </c>
      <c r="G865" s="40">
        <f t="shared" si="468"/>
        <v>108.88083980178466</v>
      </c>
      <c r="H865" s="36">
        <f>(1+I863)*(1+I864)*(1+I865)-1</f>
        <v>3.8957491639999287E-3</v>
      </c>
      <c r="I865" s="4">
        <v>1.4E-3</v>
      </c>
      <c r="J865" s="4">
        <f t="shared" si="473"/>
        <v>0.18174671853151003</v>
      </c>
      <c r="K865" s="40">
        <f t="shared" si="469"/>
        <v>118.17467185315104</v>
      </c>
      <c r="L865" s="36">
        <f>(1+M863)*(1+M864)*(1+M865)-1</f>
        <v>-8.4489706360001415E-3</v>
      </c>
      <c r="M865" s="4">
        <v>-3.5999999999999999E-3</v>
      </c>
      <c r="N865" s="4">
        <f t="shared" si="480"/>
        <v>0.23196767135703911</v>
      </c>
      <c r="O865" s="40">
        <f t="shared" si="470"/>
        <v>123.19676713570387</v>
      </c>
    </row>
    <row r="866" spans="1:15" ht="13.5" x14ac:dyDescent="0.25">
      <c r="A866" s="2">
        <v>45138</v>
      </c>
      <c r="B866" s="49">
        <v>5599596.21</v>
      </c>
      <c r="C866" s="6">
        <v>7</v>
      </c>
      <c r="D866" s="37"/>
      <c r="E866" s="4">
        <v>3.7000000000000002E-3</v>
      </c>
      <c r="F866" s="4">
        <f t="shared" si="472"/>
        <v>9.2836989090513411E-2</v>
      </c>
      <c r="G866" s="40">
        <f t="shared" si="468"/>
        <v>109.28369890905127</v>
      </c>
      <c r="H866" s="37"/>
      <c r="I866" s="4">
        <v>4.3E-3</v>
      </c>
      <c r="J866" s="4">
        <f t="shared" si="473"/>
        <v>0.18682822942119559</v>
      </c>
      <c r="K866" s="40">
        <f t="shared" si="469"/>
        <v>118.68282294211959</v>
      </c>
      <c r="L866" s="37"/>
      <c r="M866" s="4">
        <v>-6.9999999999999999E-4</v>
      </c>
      <c r="N866" s="4">
        <f t="shared" si="480"/>
        <v>0.23110529398708923</v>
      </c>
      <c r="O866" s="40">
        <f t="shared" si="470"/>
        <v>123.11052939870886</v>
      </c>
    </row>
    <row r="867" spans="1:15" ht="13.5" x14ac:dyDescent="0.25">
      <c r="A867" s="2">
        <v>45169</v>
      </c>
      <c r="B867" s="49">
        <v>4689131</v>
      </c>
      <c r="C867" s="6">
        <v>6</v>
      </c>
      <c r="D867" s="37"/>
      <c r="E867" s="4">
        <v>2.2000000000000001E-3</v>
      </c>
      <c r="F867" s="4">
        <f t="shared" si="472"/>
        <v>9.524123046651245E-2</v>
      </c>
      <c r="G867" s="40">
        <f t="shared" si="468"/>
        <v>109.52412304665118</v>
      </c>
      <c r="H867" s="37"/>
      <c r="I867" s="4">
        <v>2.2000000000000001E-3</v>
      </c>
      <c r="J867" s="4">
        <f t="shared" si="473"/>
        <v>0.18943925152592223</v>
      </c>
      <c r="K867" s="40">
        <f t="shared" si="469"/>
        <v>118.94392515259224</v>
      </c>
      <c r="L867" s="37"/>
      <c r="M867" s="4">
        <v>-6.4000000000000003E-3</v>
      </c>
      <c r="N867" s="4">
        <f t="shared" si="480"/>
        <v>0.22322622010557192</v>
      </c>
      <c r="O867" s="40">
        <f t="shared" si="470"/>
        <v>122.32262201055713</v>
      </c>
    </row>
    <row r="868" spans="1:15" ht="13.5" x14ac:dyDescent="0.25">
      <c r="A868" s="2">
        <v>45199</v>
      </c>
      <c r="B868" s="49">
        <v>5241792.3499999996</v>
      </c>
      <c r="C868" s="6">
        <v>8</v>
      </c>
      <c r="D868" s="36">
        <f>(1+E866)*(1+E867)*(1+E868)-1</f>
        <v>3.4939604640000788E-3</v>
      </c>
      <c r="E868" s="4">
        <v>-2.3999999999999998E-3</v>
      </c>
      <c r="F868" s="4">
        <f t="shared" si="472"/>
        <v>9.261265151339293E-2</v>
      </c>
      <c r="G868" s="40">
        <f t="shared" si="468"/>
        <v>109.26126515133923</v>
      </c>
      <c r="H868" s="36">
        <f>(1+I866)*(1+I867)*(1+I868)-1</f>
        <v>4.7983939179998547E-3</v>
      </c>
      <c r="I868" s="4">
        <v>-1.6999999999999999E-3</v>
      </c>
      <c r="J868" s="4">
        <f t="shared" si="473"/>
        <v>0.18741720479832802</v>
      </c>
      <c r="K868" s="40">
        <f t="shared" si="469"/>
        <v>118.74172047983284</v>
      </c>
      <c r="L868" s="36">
        <f>(1+M866)*(1+M867)*(1+M868)-1</f>
        <v>-3.2315293792000044E-2</v>
      </c>
      <c r="M868" s="4">
        <v>-2.5399999999999999E-2</v>
      </c>
      <c r="N868" s="4">
        <f t="shared" si="480"/>
        <v>0.19215627411489034</v>
      </c>
      <c r="O868" s="40">
        <f t="shared" si="470"/>
        <v>119.21562741148898</v>
      </c>
    </row>
    <row r="869" spans="1:15" ht="13.5" x14ac:dyDescent="0.25">
      <c r="A869" s="2">
        <v>45230</v>
      </c>
      <c r="B869" s="49">
        <v>5211340.4000000004</v>
      </c>
      <c r="C869" s="6">
        <v>8</v>
      </c>
      <c r="D869" s="37"/>
      <c r="E869" s="4">
        <v>8.0000000000000004E-4</v>
      </c>
      <c r="F869" s="4">
        <f t="shared" si="472"/>
        <v>9.3486741634603465E-2</v>
      </c>
      <c r="G869" s="40">
        <f t="shared" si="468"/>
        <v>109.34867416346029</v>
      </c>
      <c r="H869" s="37"/>
      <c r="I869" s="4">
        <v>1.5E-3</v>
      </c>
      <c r="J869" s="4">
        <f t="shared" si="473"/>
        <v>0.1891983306055256</v>
      </c>
      <c r="K869" s="40">
        <f t="shared" si="469"/>
        <v>118.91983306055259</v>
      </c>
      <c r="L869" s="37"/>
      <c r="M869" s="4">
        <v>-1.5800000000000002E-2</v>
      </c>
      <c r="N869" s="4">
        <f t="shared" ref="N869:N874" si="481">(N868+1)*(M869+1)-1</f>
        <v>0.17332020498387513</v>
      </c>
      <c r="O869" s="40">
        <f t="shared" si="470"/>
        <v>117.33202049838745</v>
      </c>
    </row>
    <row r="870" spans="1:15" ht="13.5" x14ac:dyDescent="0.25">
      <c r="A870" s="2">
        <v>45260</v>
      </c>
      <c r="B870" s="49">
        <v>5498252.2400000002</v>
      </c>
      <c r="C870" s="6">
        <v>9</v>
      </c>
      <c r="D870" s="37"/>
      <c r="E870" s="4">
        <v>1.24E-2</v>
      </c>
      <c r="F870" s="4">
        <f t="shared" si="472"/>
        <v>0.1070459772308725</v>
      </c>
      <c r="G870" s="40">
        <f t="shared" si="468"/>
        <v>110.70459772308719</v>
      </c>
      <c r="H870" s="37"/>
      <c r="I870" s="4">
        <v>1.24E-2</v>
      </c>
      <c r="J870" s="4">
        <f t="shared" si="473"/>
        <v>0.20394438990503416</v>
      </c>
      <c r="K870" s="40">
        <f t="shared" si="469"/>
        <v>120.39443899050345</v>
      </c>
      <c r="L870" s="37"/>
      <c r="M870" s="4">
        <v>4.53E-2</v>
      </c>
      <c r="N870" s="4">
        <f t="shared" si="481"/>
        <v>0.22647161026964446</v>
      </c>
      <c r="O870" s="40">
        <f t="shared" si="470"/>
        <v>122.64716102696438</v>
      </c>
    </row>
    <row r="871" spans="1:15" ht="13.5" x14ac:dyDescent="0.25">
      <c r="A871" s="2">
        <v>45291</v>
      </c>
      <c r="B871" s="49">
        <v>5611649.04</v>
      </c>
      <c r="C871" s="6">
        <v>10</v>
      </c>
      <c r="D871" s="36">
        <f>(1+E869)*(1+E870)*(1+E871)-1</f>
        <v>2.3645982176000002E-2</v>
      </c>
      <c r="E871" s="4">
        <v>1.03E-2</v>
      </c>
      <c r="F871" s="4">
        <f t="shared" si="472"/>
        <v>0.11844855079635042</v>
      </c>
      <c r="G871" s="40">
        <f t="shared" si="468"/>
        <v>111.84485507963498</v>
      </c>
      <c r="H871" s="36">
        <f>(1+I869)*(1+I870)*(1+I871)-1</f>
        <v>2.4564745299999968E-2</v>
      </c>
      <c r="I871" s="4">
        <v>1.0500000000000001E-2</v>
      </c>
      <c r="J871" s="4">
        <f t="shared" si="473"/>
        <v>0.21658580599903687</v>
      </c>
      <c r="K871" s="40">
        <f t="shared" si="469"/>
        <v>121.65858059990373</v>
      </c>
      <c r="L871" s="36">
        <f>(1+M869)*(1+M870)*(1+M871)-1</f>
        <v>6.8186697157999854E-2</v>
      </c>
      <c r="M871" s="4">
        <v>3.8300000000000001E-2</v>
      </c>
      <c r="N871" s="4">
        <f t="shared" si="481"/>
        <v>0.27344547294297183</v>
      </c>
      <c r="O871" s="40">
        <f t="shared" si="470"/>
        <v>127.34454729429712</v>
      </c>
    </row>
    <row r="872" spans="1:15" ht="13.5" x14ac:dyDescent="0.25">
      <c r="A872" s="2">
        <v>45322</v>
      </c>
      <c r="B872" s="49">
        <v>5627787.7699999996</v>
      </c>
      <c r="C872" s="6">
        <v>10</v>
      </c>
      <c r="D872" s="37"/>
      <c r="E872" s="4">
        <v>2.7000000000000001E-3</v>
      </c>
      <c r="F872" s="4">
        <f t="shared" si="472"/>
        <v>0.12146836188350041</v>
      </c>
      <c r="G872" s="40">
        <f t="shared" si="468"/>
        <v>112.14683618834999</v>
      </c>
      <c r="H872" s="37"/>
      <c r="I872" s="4">
        <v>4.1000000000000003E-3</v>
      </c>
      <c r="J872" s="4">
        <f t="shared" si="473"/>
        <v>0.22157380780363289</v>
      </c>
      <c r="K872" s="40">
        <f t="shared" si="469"/>
        <v>122.15738078036334</v>
      </c>
      <c r="L872" s="37"/>
      <c r="M872" s="4">
        <v>-2.7000000000000001E-3</v>
      </c>
      <c r="N872" s="4">
        <f t="shared" si="481"/>
        <v>0.27000717016602582</v>
      </c>
      <c r="O872" s="40">
        <f t="shared" si="470"/>
        <v>127.00071701660251</v>
      </c>
    </row>
    <row r="873" spans="1:15" ht="13.5" x14ac:dyDescent="0.25">
      <c r="A873" s="2">
        <v>45351</v>
      </c>
      <c r="B873" s="49">
        <v>5808320.6100000003</v>
      </c>
      <c r="C873" s="6">
        <v>11</v>
      </c>
      <c r="D873" s="37"/>
      <c r="E873" s="4">
        <v>5.0000000000000001E-4</v>
      </c>
      <c r="F873" s="4">
        <f t="shared" si="472"/>
        <v>0.12202909606444212</v>
      </c>
      <c r="G873" s="40">
        <f t="shared" si="468"/>
        <v>112.20290960644417</v>
      </c>
      <c r="H873" s="37"/>
      <c r="I873" s="4">
        <v>5.0000000000000001E-4</v>
      </c>
      <c r="J873" s="4">
        <f t="shared" si="473"/>
        <v>0.22218459470753471</v>
      </c>
      <c r="K873" s="40">
        <f t="shared" si="469"/>
        <v>122.21845947075352</v>
      </c>
      <c r="L873" s="37"/>
      <c r="M873" s="4">
        <v>-1.41E-2</v>
      </c>
      <c r="N873" s="4">
        <f t="shared" si="481"/>
        <v>0.25210006906668481</v>
      </c>
      <c r="O873" s="40">
        <f t="shared" si="470"/>
        <v>125.21000690666841</v>
      </c>
    </row>
    <row r="874" spans="1:15" ht="13.5" x14ac:dyDescent="0.25">
      <c r="A874" s="2">
        <v>45382</v>
      </c>
      <c r="B874" s="49">
        <v>5673447.1600000001</v>
      </c>
      <c r="C874" s="6">
        <v>10</v>
      </c>
      <c r="D874" s="36">
        <f>(1+E872)*(1+E873)*(1+E874)-1</f>
        <v>8.7189574249999513E-3</v>
      </c>
      <c r="E874" s="4">
        <v>5.4999999999999997E-3</v>
      </c>
      <c r="F874" s="4">
        <f t="shared" si="472"/>
        <v>0.12820025609279662</v>
      </c>
      <c r="G874" s="40">
        <f t="shared" si="468"/>
        <v>112.82002560927961</v>
      </c>
      <c r="H874" s="36">
        <f>(1+I872)*(1+I873)*(1+I874)-1</f>
        <v>1.0127361274999913E-2</v>
      </c>
      <c r="I874" s="4">
        <v>5.4999999999999997E-3</v>
      </c>
      <c r="J874" s="4">
        <f t="shared" si="473"/>
        <v>0.22890660997842627</v>
      </c>
      <c r="K874" s="40">
        <f t="shared" si="469"/>
        <v>122.89066099784267</v>
      </c>
      <c r="L874" s="36">
        <f>(1+M872)*(1+M873)*(1+M874)-1</f>
        <v>-7.7161397559999401E-3</v>
      </c>
      <c r="M874" s="4">
        <v>9.1999999999999998E-3</v>
      </c>
      <c r="N874" s="4">
        <f t="shared" si="481"/>
        <v>0.26361938970209842</v>
      </c>
      <c r="O874" s="40">
        <f t="shared" si="470"/>
        <v>126.36193897020978</v>
      </c>
    </row>
    <row r="875" spans="1:15" ht="13.5" x14ac:dyDescent="0.25">
      <c r="A875" s="2">
        <v>45412</v>
      </c>
      <c r="B875" s="49">
        <v>5649422.8200000003</v>
      </c>
      <c r="C875" s="6">
        <v>10</v>
      </c>
      <c r="D875" s="37"/>
      <c r="E875" s="4">
        <v>-3.8E-3</v>
      </c>
      <c r="F875" s="4">
        <f t="shared" si="472"/>
        <v>0.12391309511964388</v>
      </c>
      <c r="G875" s="40">
        <f t="shared" ref="G875:G892" si="482">G874*(1+E875)</f>
        <v>112.39130951196435</v>
      </c>
      <c r="H875" s="37"/>
      <c r="I875" s="4">
        <v>-2.5000000000000001E-3</v>
      </c>
      <c r="J875" s="4">
        <f t="shared" si="473"/>
        <v>0.22583434345348019</v>
      </c>
      <c r="K875" s="40">
        <f t="shared" ref="K875:K892" si="483">K874*(1+I875)</f>
        <v>122.58343434534807</v>
      </c>
      <c r="L875" s="37"/>
      <c r="M875" s="4">
        <v>-2.53E-2</v>
      </c>
      <c r="N875" s="4">
        <f t="shared" ref="N875:N880" si="484">(N874+1)*(M875+1)-1</f>
        <v>0.23164981914263527</v>
      </c>
      <c r="O875" s="40">
        <f t="shared" ref="O875:O892" si="485">O874*(1+M875)</f>
        <v>123.16498191426348</v>
      </c>
    </row>
    <row r="876" spans="1:15" ht="13.5" x14ac:dyDescent="0.25">
      <c r="A876" s="2">
        <v>45443</v>
      </c>
      <c r="B876" s="49">
        <v>5683941.3799999999</v>
      </c>
      <c r="C876" s="6">
        <v>10</v>
      </c>
      <c r="D876" s="37"/>
      <c r="E876" s="4">
        <v>6.6E-3</v>
      </c>
      <c r="F876" s="4">
        <f t="shared" si="472"/>
        <v>0.13133092154743342</v>
      </c>
      <c r="G876" s="40">
        <f t="shared" si="482"/>
        <v>113.13309215474331</v>
      </c>
      <c r="H876" s="37"/>
      <c r="I876" s="4">
        <v>6.6E-3</v>
      </c>
      <c r="J876" s="4">
        <f t="shared" si="473"/>
        <v>0.23392485012027309</v>
      </c>
      <c r="K876" s="40">
        <f t="shared" si="483"/>
        <v>123.39248501202735</v>
      </c>
      <c r="L876" s="37"/>
      <c r="M876" s="4">
        <v>1.7000000000000001E-2</v>
      </c>
      <c r="N876" s="4">
        <f t="shared" si="484"/>
        <v>0.25258786606806005</v>
      </c>
      <c r="O876" s="40">
        <f t="shared" si="485"/>
        <v>125.25878660680594</v>
      </c>
    </row>
    <row r="877" spans="1:15" ht="13.5" x14ac:dyDescent="0.25">
      <c r="A877" s="2">
        <v>45473</v>
      </c>
      <c r="B877" s="49">
        <v>5542932.1100000003</v>
      </c>
      <c r="C877" s="6">
        <v>10</v>
      </c>
      <c r="D877" s="36">
        <f>(1+E875)*(1+E876)*(1+E877)-1</f>
        <v>6.685742187999999E-3</v>
      </c>
      <c r="E877" s="4">
        <v>3.8999999999999998E-3</v>
      </c>
      <c r="F877" s="4">
        <f t="shared" si="472"/>
        <v>0.1357431121414685</v>
      </c>
      <c r="G877" s="40">
        <f t="shared" si="482"/>
        <v>113.5743112141468</v>
      </c>
      <c r="H877" s="36">
        <f>(1+I875)*(1+I876)*(1+I877)-1</f>
        <v>7.9994256500000027E-3</v>
      </c>
      <c r="I877" s="4">
        <v>3.8999999999999998E-3</v>
      </c>
      <c r="J877" s="4">
        <f t="shared" si="473"/>
        <v>0.23873715703574216</v>
      </c>
      <c r="K877" s="40">
        <f t="shared" si="483"/>
        <v>123.87371570357426</v>
      </c>
      <c r="L877" s="36">
        <f>(1+M875)*(1+M876)*(1+M877)-1</f>
        <v>6.8696405000001626E-4</v>
      </c>
      <c r="M877" s="4">
        <v>9.4999999999999998E-3</v>
      </c>
      <c r="N877" s="4">
        <f t="shared" si="484"/>
        <v>0.26448745079570668</v>
      </c>
      <c r="O877" s="40">
        <f t="shared" si="485"/>
        <v>126.4487450795706</v>
      </c>
    </row>
    <row r="878" spans="1:15" ht="13.5" x14ac:dyDescent="0.25">
      <c r="A878" s="2">
        <v>45504</v>
      </c>
      <c r="B878" s="49">
        <v>5555067.8200000003</v>
      </c>
      <c r="C878" s="6">
        <v>10</v>
      </c>
      <c r="D878" s="37"/>
      <c r="E878" s="4">
        <v>8.3999999999999995E-3</v>
      </c>
      <c r="F878" s="4">
        <f t="shared" si="472"/>
        <v>0.14528335428345684</v>
      </c>
      <c r="G878" s="40">
        <f t="shared" si="482"/>
        <v>114.52833542834563</v>
      </c>
      <c r="H878" s="37"/>
      <c r="I878" s="4">
        <v>9.7000000000000003E-3</v>
      </c>
      <c r="J878" s="4">
        <f t="shared" si="473"/>
        <v>0.25075290745898893</v>
      </c>
      <c r="K878" s="40">
        <f t="shared" si="483"/>
        <v>125.07529074589894</v>
      </c>
      <c r="L878" s="37"/>
      <c r="M878" s="4">
        <v>2.3400000000000001E-2</v>
      </c>
      <c r="N878" s="4">
        <f t="shared" si="484"/>
        <v>0.2940764571443264</v>
      </c>
      <c r="O878" s="40">
        <f t="shared" si="485"/>
        <v>129.40764571443256</v>
      </c>
    </row>
    <row r="879" spans="1:15" ht="13.5" x14ac:dyDescent="0.25">
      <c r="A879" s="2">
        <v>45535</v>
      </c>
      <c r="B879" s="49">
        <v>5585761.7800000003</v>
      </c>
      <c r="C879" s="6">
        <v>10</v>
      </c>
      <c r="D879" s="37"/>
      <c r="E879" s="4">
        <v>7.6E-3</v>
      </c>
      <c r="F879" s="4">
        <f t="shared" si="472"/>
        <v>0.15398750777601111</v>
      </c>
      <c r="G879" s="40">
        <f t="shared" si="482"/>
        <v>115.39875077760107</v>
      </c>
      <c r="H879" s="37"/>
      <c r="I879" s="4">
        <v>7.6E-3</v>
      </c>
      <c r="J879" s="4">
        <f t="shared" si="473"/>
        <v>0.26025862955567725</v>
      </c>
      <c r="K879" s="40">
        <f t="shared" si="483"/>
        <v>126.02586295556777</v>
      </c>
      <c r="L879" s="37"/>
      <c r="M879" s="4">
        <v>1.44E-2</v>
      </c>
      <c r="N879" s="4">
        <f t="shared" si="484"/>
        <v>0.31271115812720462</v>
      </c>
      <c r="O879" s="40">
        <f t="shared" si="485"/>
        <v>131.27111581272038</v>
      </c>
    </row>
    <row r="880" spans="1:15" ht="13.5" x14ac:dyDescent="0.25">
      <c r="A880" s="2">
        <v>45565</v>
      </c>
      <c r="B880" s="49">
        <v>5619723.6299999999</v>
      </c>
      <c r="C880" s="6">
        <v>10</v>
      </c>
      <c r="D880" s="36">
        <f>(1+E878)*(1+E879)*(1+E880)-1</f>
        <v>2.3684318799999993E-2</v>
      </c>
      <c r="E880" s="4">
        <v>7.4999999999999997E-3</v>
      </c>
      <c r="F880" s="4">
        <f t="shared" ref="F880:F892" si="486">(F879+1)*(E880+1)-1</f>
        <v>0.16264241408433122</v>
      </c>
      <c r="G880" s="40">
        <f t="shared" si="482"/>
        <v>116.26424140843308</v>
      </c>
      <c r="H880" s="36">
        <f>(1+I878)*(1+I879)*(1+I880)-1</f>
        <v>2.5004022900000145E-2</v>
      </c>
      <c r="I880" s="4">
        <v>7.4999999999999997E-3</v>
      </c>
      <c r="J880" s="4">
        <f t="shared" si="473"/>
        <v>0.26971056927734494</v>
      </c>
      <c r="K880" s="40">
        <f t="shared" si="483"/>
        <v>126.97105692773454</v>
      </c>
      <c r="L880" s="36">
        <f>(1+M878)*(1+M879)*(1+M880)-1</f>
        <v>5.204799526400028E-2</v>
      </c>
      <c r="M880" s="4">
        <v>1.34E-2</v>
      </c>
      <c r="N880" s="4">
        <f t="shared" si="484"/>
        <v>0.33030148764610923</v>
      </c>
      <c r="O880" s="40">
        <f t="shared" si="485"/>
        <v>133.03014876461086</v>
      </c>
    </row>
    <row r="881" spans="1:15" ht="13.5" x14ac:dyDescent="0.25">
      <c r="A881" s="2">
        <v>45596</v>
      </c>
      <c r="B881" s="49">
        <v>5486976.7800000003</v>
      </c>
      <c r="C881" s="6">
        <v>10</v>
      </c>
      <c r="D881" s="37"/>
      <c r="E881" s="4">
        <v>-4.4000000000000003E-3</v>
      </c>
      <c r="F881" s="4">
        <f t="shared" si="486"/>
        <v>0.15752678746236026</v>
      </c>
      <c r="G881" s="40">
        <f t="shared" si="482"/>
        <v>115.75267874623597</v>
      </c>
      <c r="H881" s="37"/>
      <c r="I881" s="4">
        <v>-3.0999999999999999E-3</v>
      </c>
      <c r="J881" s="4">
        <f t="shared" si="473"/>
        <v>0.26577446651258518</v>
      </c>
      <c r="K881" s="40">
        <f t="shared" si="483"/>
        <v>126.57744665125855</v>
      </c>
      <c r="L881" s="37"/>
      <c r="M881" s="4">
        <v>-2.4799999999999999E-2</v>
      </c>
      <c r="N881" s="4">
        <f t="shared" ref="N881:N886" si="487">(N880+1)*(M881+1)-1</f>
        <v>0.29731001075248575</v>
      </c>
      <c r="O881" s="40">
        <f t="shared" si="485"/>
        <v>129.73100107524851</v>
      </c>
    </row>
    <row r="882" spans="1:15" ht="13.5" x14ac:dyDescent="0.25">
      <c r="A882" s="2">
        <v>45626</v>
      </c>
      <c r="B882" s="49">
        <v>5333837.13</v>
      </c>
      <c r="C882" s="6">
        <v>9</v>
      </c>
      <c r="D882" s="37"/>
      <c r="E882" s="4">
        <v>3.5999999999999999E-3</v>
      </c>
      <c r="F882" s="4">
        <f t="shared" si="486"/>
        <v>0.16169388389722483</v>
      </c>
      <c r="G882" s="40">
        <f t="shared" si="482"/>
        <v>116.16938838972243</v>
      </c>
      <c r="H882" s="37"/>
      <c r="I882" s="4">
        <v>3.5999999999999999E-3</v>
      </c>
      <c r="J882" s="4">
        <f t="shared" si="473"/>
        <v>0.27033125459203045</v>
      </c>
      <c r="K882" s="40">
        <f t="shared" si="483"/>
        <v>127.03312545920309</v>
      </c>
      <c r="L882" s="37"/>
      <c r="M882" s="4">
        <v>1.06E-2</v>
      </c>
      <c r="N882" s="4">
        <f t="shared" si="487"/>
        <v>0.31106149686646201</v>
      </c>
      <c r="O882" s="40">
        <f t="shared" si="485"/>
        <v>131.10614968664615</v>
      </c>
    </row>
    <row r="883" spans="1:15" ht="13.5" x14ac:dyDescent="0.25">
      <c r="A883" s="2">
        <v>45657</v>
      </c>
      <c r="B883" s="49">
        <v>5231620.5199999996</v>
      </c>
      <c r="C883" s="6">
        <v>9</v>
      </c>
      <c r="D883" s="36">
        <f>(1+E881)*(1+E882)*(1+E883)-1</f>
        <v>-1.7151057439999118E-3</v>
      </c>
      <c r="E883" s="4">
        <v>-8.9999999999999998E-4</v>
      </c>
      <c r="F883" s="4">
        <f t="shared" si="486"/>
        <v>0.1606483594017174</v>
      </c>
      <c r="G883" s="40">
        <f t="shared" si="482"/>
        <v>116.06483594017168</v>
      </c>
      <c r="H883" s="36">
        <f>(1+I881)*(1+I882)*(1+I883)-1</f>
        <v>-4.115999559999306E-4</v>
      </c>
      <c r="I883" s="4">
        <v>-8.9999999999999998E-4</v>
      </c>
      <c r="J883" s="4">
        <f t="shared" si="473"/>
        <v>0.26918795646289762</v>
      </c>
      <c r="K883" s="40">
        <f t="shared" si="483"/>
        <v>126.91879564628981</v>
      </c>
      <c r="L883" s="36">
        <f>(1+M881)*(1+M882)*(1+M883)-1</f>
        <v>-3.0625688767999981E-2</v>
      </c>
      <c r="M883" s="4">
        <v>-1.6400000000000001E-2</v>
      </c>
      <c r="N883" s="4">
        <f t="shared" si="487"/>
        <v>0.28956008831785196</v>
      </c>
      <c r="O883" s="40">
        <f t="shared" si="485"/>
        <v>128.95600883178517</v>
      </c>
    </row>
    <row r="884" spans="1:15" ht="13.5" x14ac:dyDescent="0.25">
      <c r="A884" s="2">
        <v>45688</v>
      </c>
      <c r="B884" s="49">
        <v>5219688.8099999996</v>
      </c>
      <c r="C884" s="6">
        <v>9</v>
      </c>
      <c r="D884" s="37"/>
      <c r="E884" s="4">
        <v>4.3E-3</v>
      </c>
      <c r="F884" s="4">
        <f t="shared" si="486"/>
        <v>0.1656391473471448</v>
      </c>
      <c r="G884" s="40">
        <f t="shared" si="482"/>
        <v>116.56391473471442</v>
      </c>
      <c r="H884" s="37"/>
      <c r="I884" s="4">
        <v>5.5999999999999999E-3</v>
      </c>
      <c r="J884" s="4">
        <f t="shared" ref="J884:J892" si="488">(J883+1)*(I884+1)-1</f>
        <v>0.27629540901908989</v>
      </c>
      <c r="K884" s="40">
        <f t="shared" si="483"/>
        <v>127.62954090190904</v>
      </c>
      <c r="L884" s="37"/>
      <c r="M884" s="4">
        <v>5.3E-3</v>
      </c>
      <c r="N884" s="4">
        <f t="shared" si="487"/>
        <v>0.29639475678593663</v>
      </c>
      <c r="O884" s="40">
        <f t="shared" si="485"/>
        <v>129.63947567859364</v>
      </c>
    </row>
    <row r="885" spans="1:15" ht="13.5" x14ac:dyDescent="0.25">
      <c r="A885" s="2">
        <v>45716</v>
      </c>
      <c r="B885" s="49">
        <v>5244972.88</v>
      </c>
      <c r="C885" s="6">
        <v>9</v>
      </c>
      <c r="D885" s="37"/>
      <c r="E885" s="4">
        <v>6.4000000000000003E-3</v>
      </c>
      <c r="F885" s="4">
        <f t="shared" si="486"/>
        <v>0.17309923789016657</v>
      </c>
      <c r="G885" s="40">
        <f t="shared" si="482"/>
        <v>117.30992378901658</v>
      </c>
      <c r="H885" s="37"/>
      <c r="I885" s="4">
        <v>6.4000000000000003E-3</v>
      </c>
      <c r="J885" s="4">
        <f t="shared" si="488"/>
        <v>0.28446369963681195</v>
      </c>
      <c r="K885" s="40">
        <f t="shared" si="483"/>
        <v>128.44636996368126</v>
      </c>
      <c r="L885" s="37"/>
      <c r="M885" s="4">
        <v>2.1999999999999999E-2</v>
      </c>
      <c r="N885" s="4">
        <f t="shared" si="487"/>
        <v>0.32491544143522733</v>
      </c>
      <c r="O885" s="40">
        <f t="shared" si="485"/>
        <v>132.4915441435227</v>
      </c>
    </row>
    <row r="886" spans="1:15" ht="13.5" x14ac:dyDescent="0.25">
      <c r="A886" s="2">
        <v>45747</v>
      </c>
      <c r="B886" s="49">
        <v>5254547.82</v>
      </c>
      <c r="C886" s="6">
        <v>9</v>
      </c>
      <c r="D886" s="36">
        <f>(1+E884)*(1+E885)*(1+E886)-1</f>
        <v>1.4265066319999908E-2</v>
      </c>
      <c r="E886" s="4">
        <v>3.5000000000000001E-3</v>
      </c>
      <c r="F886" s="4">
        <f t="shared" si="486"/>
        <v>0.17720508522278222</v>
      </c>
      <c r="G886" s="40">
        <f t="shared" si="482"/>
        <v>117.72050852227814</v>
      </c>
      <c r="H886" s="36">
        <f>(1+I884)*(1+I885)*(1+I886)-1</f>
        <v>1.5577965440000119E-2</v>
      </c>
      <c r="I886" s="4">
        <v>3.5000000000000001E-3</v>
      </c>
      <c r="J886" s="4">
        <f t="shared" si="488"/>
        <v>0.28895932258554091</v>
      </c>
      <c r="K886" s="40">
        <f t="shared" si="483"/>
        <v>128.89593225855415</v>
      </c>
      <c r="L886" s="36">
        <f>(1+M884)*(1+M885)*(1+M886)-1</f>
        <v>2.7827566640000079E-2</v>
      </c>
      <c r="M886" s="4">
        <v>4.0000000000000002E-4</v>
      </c>
      <c r="N886" s="4">
        <f t="shared" si="487"/>
        <v>0.32544540761180141</v>
      </c>
      <c r="O886" s="40">
        <f t="shared" si="485"/>
        <v>132.54454076118012</v>
      </c>
    </row>
    <row r="887" spans="1:15" ht="13.5" x14ac:dyDescent="0.25">
      <c r="A887" s="2">
        <v>45777</v>
      </c>
      <c r="B887" s="49">
        <v>4989314.79</v>
      </c>
      <c r="C887" s="6">
        <v>8</v>
      </c>
      <c r="D887" s="37"/>
      <c r="E887" s="4">
        <v>3.5000000000000001E-3</v>
      </c>
      <c r="F887" s="4">
        <f t="shared" si="486"/>
        <v>0.18132530302106198</v>
      </c>
      <c r="G887" s="40">
        <f t="shared" si="482"/>
        <v>118.13253030210612</v>
      </c>
      <c r="H887" s="37"/>
      <c r="I887" s="4">
        <v>4.8999999999999998E-3</v>
      </c>
      <c r="J887" s="4">
        <f t="shared" si="488"/>
        <v>0.29527522326620992</v>
      </c>
      <c r="K887" s="40">
        <f t="shared" si="483"/>
        <v>129.52752232662107</v>
      </c>
      <c r="L887" s="37"/>
      <c r="M887" s="4">
        <v>3.8999999999999998E-3</v>
      </c>
      <c r="N887" s="4">
        <f t="shared" ref="N887:N892" si="489">(N886+1)*(M887+1)-1</f>
        <v>0.33061464470148749</v>
      </c>
      <c r="O887" s="40">
        <f t="shared" si="485"/>
        <v>133.06146447014871</v>
      </c>
    </row>
    <row r="888" spans="1:15" ht="13.5" x14ac:dyDescent="0.25">
      <c r="A888" s="2">
        <v>45808</v>
      </c>
      <c r="B888" s="49">
        <v>4986985.88</v>
      </c>
      <c r="C888" s="6">
        <v>8</v>
      </c>
      <c r="D888" s="37"/>
      <c r="E888" s="4">
        <v>1.2999999999999999E-3</v>
      </c>
      <c r="F888" s="4">
        <f t="shared" si="486"/>
        <v>0.18286102591498943</v>
      </c>
      <c r="G888" s="40">
        <f t="shared" si="482"/>
        <v>118.28610259149886</v>
      </c>
      <c r="H888" s="37"/>
      <c r="I888" s="4">
        <v>1.2999999999999999E-3</v>
      </c>
      <c r="J888" s="4">
        <f t="shared" si="488"/>
        <v>0.29695908105645619</v>
      </c>
      <c r="K888" s="40">
        <f t="shared" si="483"/>
        <v>129.69590810564569</v>
      </c>
      <c r="L888" s="37"/>
      <c r="M888" s="4">
        <v>-7.1999999999999998E-3</v>
      </c>
      <c r="N888" s="4">
        <f t="shared" si="489"/>
        <v>0.32103421925963671</v>
      </c>
      <c r="O888" s="40">
        <f t="shared" si="485"/>
        <v>132.10342192596363</v>
      </c>
    </row>
    <row r="889" spans="1:15" ht="13.5" x14ac:dyDescent="0.25">
      <c r="A889" s="2">
        <v>45838</v>
      </c>
      <c r="B889" s="49">
        <v>5955590.79</v>
      </c>
      <c r="C889" s="6">
        <v>10</v>
      </c>
      <c r="D889" s="36">
        <f>(1+E887)*(1+E888)*(1+E889)-1</f>
        <v>9.7280922950000459E-3</v>
      </c>
      <c r="E889" s="4">
        <v>4.8999999999999998E-3</v>
      </c>
      <c r="F889" s="4">
        <f t="shared" si="486"/>
        <v>0.18865704494197266</v>
      </c>
      <c r="G889" s="40">
        <f t="shared" si="482"/>
        <v>118.86570449419719</v>
      </c>
      <c r="H889" s="36">
        <f>(1+I887)*(1+I888)*(1+I889)-1</f>
        <v>1.113678121299988E-2</v>
      </c>
      <c r="I889" s="4">
        <v>4.8999999999999998E-3</v>
      </c>
      <c r="J889" s="4">
        <f t="shared" si="488"/>
        <v>0.3033141805536328</v>
      </c>
      <c r="K889" s="40">
        <f t="shared" si="483"/>
        <v>130.33141805536334</v>
      </c>
      <c r="L889" s="36">
        <f>(1+M887)*(1+M888)*(1+M889)-1</f>
        <v>1.2020667568000132E-2</v>
      </c>
      <c r="M889" s="4">
        <v>1.54E-2</v>
      </c>
      <c r="N889" s="4">
        <f t="shared" si="489"/>
        <v>0.3413781462362353</v>
      </c>
      <c r="O889" s="40">
        <f t="shared" si="485"/>
        <v>134.13781462362348</v>
      </c>
    </row>
    <row r="890" spans="1:15" ht="13.5" x14ac:dyDescent="0.25">
      <c r="A890" s="2">
        <v>45869</v>
      </c>
      <c r="B890" s="49">
        <v>4651887.9000000004</v>
      </c>
      <c r="C890" s="6">
        <v>8</v>
      </c>
      <c r="D890" s="37"/>
      <c r="E890" s="4">
        <v>1.2999999999999999E-3</v>
      </c>
      <c r="F890" s="4">
        <f t="shared" si="486"/>
        <v>0.19020229910039732</v>
      </c>
      <c r="G890" s="40">
        <f t="shared" si="482"/>
        <v>119.02022991003966</v>
      </c>
      <c r="H890" s="37"/>
      <c r="I890" s="4">
        <v>2.5999999999999999E-3</v>
      </c>
      <c r="J890" s="4">
        <f t="shared" si="488"/>
        <v>0.30670279742307205</v>
      </c>
      <c r="K890" s="40">
        <f t="shared" si="483"/>
        <v>130.67027974230729</v>
      </c>
      <c r="L890" s="37"/>
      <c r="M890" s="4">
        <v>-2.5999999999999999E-3</v>
      </c>
      <c r="N890" s="4">
        <f t="shared" si="489"/>
        <v>0.33789056305602094</v>
      </c>
      <c r="O890" s="40">
        <f t="shared" si="485"/>
        <v>133.78905630560206</v>
      </c>
    </row>
    <row r="891" spans="1:15" ht="13.5" x14ac:dyDescent="0.25">
      <c r="A891" s="2">
        <v>45900</v>
      </c>
      <c r="B891" s="49">
        <v>4666221.92</v>
      </c>
      <c r="C891" s="6">
        <v>8</v>
      </c>
      <c r="D891" s="37"/>
      <c r="E891" s="4">
        <v>6.7000000000000002E-3</v>
      </c>
      <c r="F891" s="4">
        <f t="shared" si="486"/>
        <v>0.19817665450436994</v>
      </c>
      <c r="G891" s="40">
        <f t="shared" si="482"/>
        <v>119.81766545043692</v>
      </c>
      <c r="H891" s="37"/>
      <c r="I891" s="4">
        <v>6.7000000000000002E-3</v>
      </c>
      <c r="J891" s="4">
        <f t="shared" si="488"/>
        <v>0.3154577061658066</v>
      </c>
      <c r="K891" s="40">
        <f t="shared" si="483"/>
        <v>131.54577061658074</v>
      </c>
      <c r="L891" s="37"/>
      <c r="M891" s="4">
        <v>1.2E-2</v>
      </c>
      <c r="N891" s="4">
        <f t="shared" si="489"/>
        <v>0.35394524981269315</v>
      </c>
      <c r="O891" s="40">
        <f t="shared" si="485"/>
        <v>135.39452498126929</v>
      </c>
    </row>
    <row r="892" spans="1:15" ht="13.5" x14ac:dyDescent="0.25">
      <c r="A892" s="2">
        <v>45930</v>
      </c>
      <c r="B892" s="49">
        <v>4654503.38</v>
      </c>
      <c r="C892" s="6">
        <v>8</v>
      </c>
      <c r="D892" s="36">
        <f>(1+E890)*(1+E891)*(1+E892)-1</f>
        <v>1.1637541355999925E-2</v>
      </c>
      <c r="E892" s="4">
        <v>3.5999999999999999E-3</v>
      </c>
      <c r="F892" s="4">
        <f t="shared" si="486"/>
        <v>0.20249009046058575</v>
      </c>
      <c r="G892" s="40">
        <f t="shared" si="482"/>
        <v>120.2490090460585</v>
      </c>
      <c r="H892" s="36">
        <f>(1+I890)*(1+I891)*(1+I892)-1</f>
        <v>1.2950962711999914E-2</v>
      </c>
      <c r="I892" s="4">
        <v>3.5999999999999999E-3</v>
      </c>
      <c r="J892" s="4">
        <f t="shared" si="488"/>
        <v>0.32019335390800352</v>
      </c>
      <c r="K892" s="40">
        <f t="shared" si="483"/>
        <v>132.01933539080045</v>
      </c>
      <c r="L892" s="36">
        <f>(1+M890)*(1+M891)*(1+M892)-1</f>
        <v>2.0370919919999952E-2</v>
      </c>
      <c r="M892" s="4">
        <v>1.09E-2</v>
      </c>
      <c r="N892" s="4">
        <f t="shared" si="489"/>
        <v>0.36870325303565132</v>
      </c>
      <c r="O892" s="40">
        <f t="shared" si="485"/>
        <v>136.8703253035651</v>
      </c>
    </row>
    <row r="893" spans="1:15" ht="13.5" x14ac:dyDescent="0.25">
      <c r="A893" s="2">
        <v>45961</v>
      </c>
      <c r="B893" s="49">
        <v>4655200.3099999996</v>
      </c>
      <c r="C893" s="6">
        <v>8</v>
      </c>
      <c r="D893" s="37"/>
      <c r="E893" s="4">
        <v>1.2999999999999999E-3</v>
      </c>
      <c r="F893" s="4">
        <f t="shared" ref="F893:F898" si="490">(F892+1)*(E893+1)-1</f>
        <v>0.20405332757818462</v>
      </c>
      <c r="G893" s="40">
        <f t="shared" ref="G893:G898" si="491">G892*(1+E893)</f>
        <v>120.40533275781839</v>
      </c>
      <c r="H893" s="37"/>
      <c r="I893" s="4">
        <v>2.5999999999999999E-3</v>
      </c>
      <c r="J893" s="4">
        <f t="shared" ref="J893:J898" si="492">(J892+1)*(I893+1)-1</f>
        <v>0.32362585662816423</v>
      </c>
      <c r="K893" s="40">
        <f t="shared" ref="K893:K898" si="493">K892*(1+I893)</f>
        <v>132.36258566281651</v>
      </c>
      <c r="L893" s="37"/>
      <c r="M893" s="4">
        <v>6.1999999999999998E-3</v>
      </c>
      <c r="N893" s="4">
        <f t="shared" ref="N893:N898" si="494">(N892+1)*(M893+1)-1</f>
        <v>0.3771892132044723</v>
      </c>
      <c r="O893" s="40">
        <f t="shared" ref="O893:O898" si="495">O892*(1+M893)</f>
        <v>137.71892132044721</v>
      </c>
    </row>
    <row r="894" spans="1:15" ht="13.5" x14ac:dyDescent="0.25">
      <c r="A894" s="2">
        <v>45991</v>
      </c>
      <c r="B894" s="49">
        <v>4646086.53</v>
      </c>
      <c r="C894" s="6">
        <v>8</v>
      </c>
      <c r="D894" s="37"/>
      <c r="E894" s="4">
        <v>3.3999999999999998E-3</v>
      </c>
      <c r="F894" s="4">
        <f t="shared" si="490"/>
        <v>0.20814710889195043</v>
      </c>
      <c r="G894" s="40">
        <f t="shared" si="491"/>
        <v>120.81471088919497</v>
      </c>
      <c r="H894" s="37"/>
      <c r="I894" s="4">
        <v>3.3999999999999998E-3</v>
      </c>
      <c r="J894" s="4">
        <f t="shared" si="492"/>
        <v>0.32812618454069997</v>
      </c>
      <c r="K894" s="40">
        <f t="shared" si="493"/>
        <v>132.8126184540701</v>
      </c>
      <c r="L894" s="37"/>
      <c r="M894" s="4">
        <v>6.1999999999999998E-3</v>
      </c>
      <c r="N894" s="4">
        <f t="shared" si="494"/>
        <v>0.38572778632633997</v>
      </c>
      <c r="O894" s="40">
        <f t="shared" si="495"/>
        <v>138.57277863263397</v>
      </c>
    </row>
    <row r="895" spans="1:15" ht="13.5" x14ac:dyDescent="0.25">
      <c r="A895" s="2">
        <v>46022</v>
      </c>
      <c r="B895" s="49">
        <v>4639413.5999999996</v>
      </c>
      <c r="C895" s="6">
        <v>8</v>
      </c>
      <c r="D895" s="36">
        <f>(1+E893)*(1+E894)*(1+E895)-1</f>
        <v>7.0152401660001917E-3</v>
      </c>
      <c r="E895" s="4">
        <v>2.3E-3</v>
      </c>
      <c r="F895" s="4">
        <f t="shared" si="490"/>
        <v>0.21092584724240182</v>
      </c>
      <c r="G895" s="40">
        <f t="shared" si="491"/>
        <v>121.09258472424011</v>
      </c>
      <c r="H895" s="36">
        <f>(1+I893)*(1+I894)*(1+I895)-1</f>
        <v>8.3226603319999093E-3</v>
      </c>
      <c r="I895" s="4">
        <v>2.3E-3</v>
      </c>
      <c r="J895" s="4">
        <f t="shared" si="492"/>
        <v>0.33118087476514346</v>
      </c>
      <c r="K895" s="40">
        <f t="shared" si="493"/>
        <v>133.11808747651446</v>
      </c>
      <c r="L895" s="36">
        <f>(1+M893)*(1+M894)*(1+M895)-1</f>
        <v>1.0919782340000017E-2</v>
      </c>
      <c r="M895" s="4">
        <v>-1.5E-3</v>
      </c>
      <c r="N895" s="4">
        <f t="shared" si="494"/>
        <v>0.38364919464685054</v>
      </c>
      <c r="O895" s="40">
        <f t="shared" si="495"/>
        <v>138.36491946468502</v>
      </c>
    </row>
    <row r="896" spans="1:15" ht="13.5" x14ac:dyDescent="0.25">
      <c r="A896" s="2">
        <v>46053</v>
      </c>
      <c r="B896" s="57">
        <v>4619063.82</v>
      </c>
      <c r="C896" s="6">
        <v>8</v>
      </c>
      <c r="D896" s="56"/>
      <c r="E896" s="4">
        <v>1.9E-3</v>
      </c>
      <c r="F896" s="4">
        <f t="shared" si="490"/>
        <v>0.2132266063521624</v>
      </c>
      <c r="G896" s="40">
        <f t="shared" si="491"/>
        <v>121.32266063521617</v>
      </c>
      <c r="H896" s="56"/>
      <c r="I896" s="4">
        <v>3.2000000000000002E-3</v>
      </c>
      <c r="J896" s="4">
        <f t="shared" si="492"/>
        <v>0.33544065356439212</v>
      </c>
      <c r="K896" s="40">
        <f t="shared" si="493"/>
        <v>133.54406535643932</v>
      </c>
      <c r="L896" s="56"/>
      <c r="M896" s="4">
        <v>1.1000000000000001E-3</v>
      </c>
      <c r="N896" s="4">
        <f t="shared" si="494"/>
        <v>0.38517120876096222</v>
      </c>
      <c r="O896" s="40">
        <f t="shared" si="495"/>
        <v>138.51712087609619</v>
      </c>
    </row>
    <row r="897" spans="1:15" ht="13.5" x14ac:dyDescent="0.25">
      <c r="A897" s="2">
        <v>46081</v>
      </c>
      <c r="B897" s="57">
        <v>4226322.78</v>
      </c>
      <c r="C897" s="6">
        <v>7</v>
      </c>
      <c r="D897" s="56"/>
      <c r="E897" s="4">
        <v>3.5000000000000001E-3</v>
      </c>
      <c r="F897" s="4">
        <f t="shared" si="490"/>
        <v>0.21747289947439508</v>
      </c>
      <c r="G897" s="40">
        <f t="shared" si="491"/>
        <v>121.74728994743943</v>
      </c>
      <c r="H897" s="56"/>
      <c r="I897" s="4">
        <v>3.5000000000000001E-3</v>
      </c>
      <c r="J897" s="4">
        <f t="shared" si="492"/>
        <v>0.34011469585186749</v>
      </c>
      <c r="K897" s="40">
        <f t="shared" si="493"/>
        <v>134.01146958518686</v>
      </c>
      <c r="L897" s="56"/>
      <c r="M897" s="4">
        <v>1.6400000000000001E-2</v>
      </c>
      <c r="N897" s="4">
        <f t="shared" si="494"/>
        <v>0.40788801658464191</v>
      </c>
      <c r="O897" s="40">
        <f t="shared" si="495"/>
        <v>140.78880165846417</v>
      </c>
    </row>
    <row r="898" spans="1:15" ht="13.5" x14ac:dyDescent="0.25">
      <c r="A898" s="2">
        <v>46112</v>
      </c>
      <c r="B898" s="57">
        <v>4043286.31</v>
      </c>
      <c r="C898" s="6">
        <v>7</v>
      </c>
      <c r="D898" s="56">
        <f>(1+E896)*(1+E897)*(1+E898)-1</f>
        <v>3.5969180299999515E-3</v>
      </c>
      <c r="E898" s="4">
        <v>-1.8E-3</v>
      </c>
      <c r="F898" s="4">
        <f t="shared" si="490"/>
        <v>0.21528144825534112</v>
      </c>
      <c r="G898" s="40">
        <f t="shared" si="491"/>
        <v>121.52814482553403</v>
      </c>
      <c r="H898" s="56">
        <f>(1+I896)*(1+I897)*(1+I898)-1</f>
        <v>4.8991198400001323E-3</v>
      </c>
      <c r="I898" s="4">
        <v>-1.8E-3</v>
      </c>
      <c r="J898" s="4">
        <f t="shared" si="492"/>
        <v>0.33770248939933412</v>
      </c>
      <c r="K898" s="40">
        <f t="shared" si="493"/>
        <v>133.77024893993351</v>
      </c>
      <c r="L898" s="56">
        <f>(1+M896)*(1+M897)*(1+M898)-1</f>
        <v>-3.9027750399978078E-4</v>
      </c>
      <c r="M898" s="4">
        <v>-1.7600000000000001E-2</v>
      </c>
      <c r="N898" s="4">
        <f t="shared" si="494"/>
        <v>0.38310918749275236</v>
      </c>
      <c r="O898" s="40">
        <f t="shared" si="495"/>
        <v>138.3109187492752</v>
      </c>
    </row>
    <row r="899" spans="1:15" ht="13.5" x14ac:dyDescent="0.25">
      <c r="A899" s="2">
        <v>46142</v>
      </c>
      <c r="B899" s="57">
        <v>4033159.51</v>
      </c>
      <c r="C899" s="6">
        <v>7</v>
      </c>
      <c r="D899" s="56"/>
      <c r="E899" s="4">
        <v>2.5999999999999999E-3</v>
      </c>
      <c r="F899" s="4">
        <f t="shared" ref="F899" si="496">(F898+1)*(E899+1)-1</f>
        <v>0.21844118002080504</v>
      </c>
      <c r="G899" s="40">
        <f t="shared" ref="G899" si="497">G898*(1+E899)</f>
        <v>121.84411800208041</v>
      </c>
      <c r="H899" s="56"/>
      <c r="I899" s="4">
        <v>3.8999999999999998E-3</v>
      </c>
      <c r="J899" s="4">
        <f t="shared" ref="J899" si="498">(J898+1)*(I899+1)-1</f>
        <v>0.34291952910799162</v>
      </c>
      <c r="K899" s="40">
        <f t="shared" ref="K899" si="499">K898*(1+I899)</f>
        <v>134.29195291079924</v>
      </c>
      <c r="L899" s="56"/>
      <c r="M899" s="4">
        <v>1.1000000000000001E-3</v>
      </c>
      <c r="N899" s="4">
        <f t="shared" ref="N899" si="500">(N898+1)*(M899+1)-1</f>
        <v>0.38463060759899448</v>
      </c>
      <c r="O899" s="40">
        <f t="shared" ref="O899" si="501">O898*(1+M899)</f>
        <v>138.46306075989941</v>
      </c>
    </row>
    <row r="900" spans="1:15" ht="13.5" x14ac:dyDescent="0.25">
      <c r="A900" s="2">
        <v>46173</v>
      </c>
      <c r="B900" s="57">
        <v>4027889.37</v>
      </c>
      <c r="C900" s="6">
        <v>7</v>
      </c>
      <c r="D900" s="56"/>
      <c r="E900" s="4">
        <v>2E-3</v>
      </c>
      <c r="F900" s="4">
        <f t="shared" ref="F900" si="502">(F899+1)*(E900+1)-1</f>
        <v>0.22087806238084662</v>
      </c>
      <c r="G900" s="40">
        <f t="shared" ref="G900" si="503">G899*(1+E900)</f>
        <v>122.08780623808457</v>
      </c>
      <c r="H900" s="56"/>
      <c r="I900" s="4">
        <v>2E-3</v>
      </c>
      <c r="J900" s="4">
        <f t="shared" ref="J900" si="504">(J899+1)*(I900+1)-1</f>
        <v>0.34560536816620768</v>
      </c>
      <c r="K900" s="40">
        <f t="shared" ref="K900" si="505">K899*(1+I900)</f>
        <v>134.56053681662084</v>
      </c>
      <c r="L900" s="56"/>
      <c r="M900" s="4">
        <v>3.0999999999999999E-3</v>
      </c>
      <c r="N900" s="4">
        <f t="shared" ref="N900" si="506">(N899+1)*(M900+1)-1</f>
        <v>0.38892296248255143</v>
      </c>
      <c r="O900" s="40">
        <f t="shared" ref="O900" si="507">O899*(1+M900)</f>
        <v>138.89229624825512</v>
      </c>
    </row>
    <row r="901" spans="1:15" ht="13.5" x14ac:dyDescent="0.25">
      <c r="A901" s="2">
        <v>46203</v>
      </c>
      <c r="B901" s="57">
        <v>4018050.44</v>
      </c>
      <c r="C901" s="6">
        <v>7</v>
      </c>
      <c r="D901" s="56">
        <f>(1+E899)*(1+E900)*(1+E901)-1</f>
        <v>5.8107262400000081E-3</v>
      </c>
      <c r="E901" s="4">
        <v>1.1999999999999999E-3</v>
      </c>
      <c r="F901" s="4">
        <f t="shared" ref="F901:F903" si="508">(F900+1)*(E901+1)-1</f>
        <v>0.22234311605570367</v>
      </c>
      <c r="G901" s="40">
        <f t="shared" ref="G901:G903" si="509">G900*(1+E901)</f>
        <v>122.23431160557028</v>
      </c>
      <c r="H901" s="56">
        <f>(1+I899)*(1+I900)*(1+I901)-1</f>
        <v>7.1148893599999319E-3</v>
      </c>
      <c r="I901" s="4">
        <v>1.1999999999999999E-3</v>
      </c>
      <c r="J901" s="4">
        <f t="shared" ref="J901:J903" si="510">(J900+1)*(I901+1)-1</f>
        <v>0.34722009460800729</v>
      </c>
      <c r="K901" s="40">
        <f t="shared" ref="K901:K903" si="511">K900*(1+I901)</f>
        <v>134.72200946080079</v>
      </c>
      <c r="L901" s="56">
        <f>(1+M899)*(1+M900)*(1+M901)-1</f>
        <v>6.6134981840000329E-3</v>
      </c>
      <c r="M901" s="4">
        <v>2.3999999999999998E-3</v>
      </c>
      <c r="N901" s="4">
        <f t="shared" ref="N901:N903" si="512">(N900+1)*(M901+1)-1</f>
        <v>0.39225637759250942</v>
      </c>
      <c r="O901" s="40">
        <f t="shared" ref="O901:O903" si="513">O900*(1+M901)</f>
        <v>139.22563775925093</v>
      </c>
    </row>
    <row r="902" spans="1:15" ht="13.5" x14ac:dyDescent="0.25">
      <c r="A902" s="2">
        <v>46234</v>
      </c>
      <c r="B902" s="57">
        <v>3335105.98</v>
      </c>
      <c r="C902" s="6">
        <v>6</v>
      </c>
      <c r="D902" s="56"/>
      <c r="E902" s="4">
        <v>0</v>
      </c>
      <c r="F902" s="4">
        <f t="shared" si="508"/>
        <v>0.22234311605570367</v>
      </c>
      <c r="G902" s="40">
        <f t="shared" si="509"/>
        <v>122.23431160557028</v>
      </c>
      <c r="H902" s="56"/>
      <c r="I902" s="4">
        <v>1.2999999999999999E-3</v>
      </c>
      <c r="J902" s="4">
        <f t="shared" si="510"/>
        <v>0.34897148073099782</v>
      </c>
      <c r="K902" s="40">
        <f t="shared" si="511"/>
        <v>134.89714807309986</v>
      </c>
      <c r="L902" s="56"/>
      <c r="M902" s="4">
        <v>-1.2999999999999999E-2</v>
      </c>
      <c r="N902" s="4">
        <f t="shared" si="512"/>
        <v>0.37415704468380673</v>
      </c>
      <c r="O902" s="40">
        <f t="shared" si="513"/>
        <v>137.41570446838065</v>
      </c>
    </row>
    <row r="903" spans="1:15" ht="13.5" x14ac:dyDescent="0.25">
      <c r="A903" s="2">
        <v>46265</v>
      </c>
      <c r="B903" s="57">
        <v>3316832.05</v>
      </c>
      <c r="C903" s="6">
        <v>6</v>
      </c>
      <c r="D903" s="56"/>
      <c r="E903" s="4">
        <v>2.7000000000000001E-3</v>
      </c>
      <c r="F903" s="4">
        <f t="shared" si="508"/>
        <v>0.22564344246905388</v>
      </c>
      <c r="G903" s="40">
        <f t="shared" si="509"/>
        <v>122.56434424690532</v>
      </c>
      <c r="H903" s="56"/>
      <c r="I903" s="4">
        <v>2.7000000000000001E-3</v>
      </c>
      <c r="J903" s="4">
        <f t="shared" si="510"/>
        <v>0.35261370372897138</v>
      </c>
      <c r="K903" s="40">
        <f t="shared" si="511"/>
        <v>135.2613703728972</v>
      </c>
      <c r="L903" s="56"/>
      <c r="M903" s="4">
        <v>3.8999999999999998E-3</v>
      </c>
      <c r="N903" s="4">
        <f t="shared" si="512"/>
        <v>0.37951625715807369</v>
      </c>
      <c r="O903" s="40">
        <f t="shared" si="513"/>
        <v>137.95162571580735</v>
      </c>
    </row>
    <row r="904" spans="1:15" ht="13.5" x14ac:dyDescent="0.25">
      <c r="A904" s="2">
        <v>46295</v>
      </c>
      <c r="B904" s="57">
        <v>3287541.6</v>
      </c>
      <c r="C904" s="6">
        <v>6</v>
      </c>
      <c r="D904" s="56">
        <f>(1+E902)*(1+E903)*(1+E904)-1</f>
        <v>-2.0126900000001502E-3</v>
      </c>
      <c r="E904" s="4">
        <v>-4.7000000000000002E-3</v>
      </c>
      <c r="F904" s="4">
        <f t="shared" ref="F904" si="514">(F903+1)*(E904+1)-1</f>
        <v>0.21988291828944928</v>
      </c>
      <c r="G904" s="40">
        <f t="shared" ref="G904" si="515">G903*(1+E904)</f>
        <v>121.98829182894487</v>
      </c>
      <c r="H904" s="56">
        <f>(1+I902)*(1+I903)*(1+I904)-1</f>
        <v>-7.1530649700002336E-4</v>
      </c>
      <c r="I904" s="4">
        <v>-4.7000000000000002E-3</v>
      </c>
      <c r="J904" s="4">
        <f t="shared" ref="J904" si="516">(J903+1)*(I904+1)-1</f>
        <v>0.34625641932144524</v>
      </c>
      <c r="K904" s="40">
        <f t="shared" ref="K904" si="517">K903*(1+I904)</f>
        <v>134.62564193214459</v>
      </c>
      <c r="L904" s="56">
        <f>(1+M902)*(1+M903)*(1+M904)-1</f>
        <v>-3.5011866730000007E-2</v>
      </c>
      <c r="M904" s="4">
        <v>-2.6100000000000002E-2</v>
      </c>
      <c r="N904" s="4">
        <f t="shared" ref="N904" si="518">(N903+1)*(M904+1)-1</f>
        <v>0.34351088284624787</v>
      </c>
      <c r="O904" s="40">
        <f t="shared" ref="O904" si="519">O903*(1+M904)</f>
        <v>134.35108828462478</v>
      </c>
    </row>
  </sheetData>
  <phoneticPr fontId="2" type="noConversion"/>
  <pageMargins left="0.75" right="0.75" top="1" bottom="1" header="0.5" footer="0.5"/>
  <pageSetup scale="49" fitToHeight="0" orientation="landscape" r:id="rId1"/>
  <headerFooter alignWithMargins="0">
    <oddHeader>&amp;L&amp;G</oddHeader>
    <oddFooter>&amp;C&amp;"Avenir LT 45 Book,Regular"&amp;8&amp;Z&amp;F&amp;R&amp;"Avenir LT 45 Book,Regular"&amp;8&amp;D</oddFooter>
  </headerFooter>
  <rowBreaks count="12" manualBreakCount="12">
    <brk id="71" max="18" man="1"/>
    <brk id="144" max="18" man="1"/>
    <brk id="215" max="18" man="1"/>
    <brk id="288" max="18" man="1"/>
    <brk id="359" max="18" man="1"/>
    <brk id="432" max="18" man="1"/>
    <brk id="503" max="18" man="1"/>
    <brk id="574" max="18" man="1"/>
    <brk id="645" max="18" man="1"/>
    <brk id="718" max="18" man="1"/>
    <brk id="789" max="18" man="1"/>
    <brk id="862" max="18" man="1"/>
  </rowBreaks>
  <legacy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5DBD9-2514-498C-BEDD-7F17FB2ABA0B}">
  <sheetPr codeName="Sheet2"/>
  <dimension ref="A1:X49"/>
  <sheetViews>
    <sheetView tabSelected="1" view="pageBreakPreview" zoomScale="115" zoomScaleNormal="100" zoomScaleSheetLayoutView="115" zoomScalePageLayoutView="85" workbookViewId="0">
      <selection activeCell="H25" sqref="H25"/>
    </sheetView>
  </sheetViews>
  <sheetFormatPr defaultRowHeight="12.75" x14ac:dyDescent="0.2"/>
  <cols>
    <col min="1" max="1" width="30" customWidth="1"/>
    <col min="2" max="2" width="11.28515625" customWidth="1"/>
    <col min="3" max="3" width="15.7109375" customWidth="1"/>
    <col min="4" max="4" width="13.42578125" customWidth="1"/>
    <col min="5" max="7" width="11.28515625" customWidth="1"/>
    <col min="8" max="8" width="15" bestFit="1" customWidth="1"/>
    <col min="9" max="9" width="22.42578125" bestFit="1" customWidth="1"/>
    <col min="10" max="10" width="11.140625" hidden="1" customWidth="1"/>
    <col min="11" max="11" width="10.85546875" style="24" bestFit="1" customWidth="1"/>
    <col min="13" max="13" width="11.28515625" bestFit="1" customWidth="1"/>
    <col min="14" max="14" width="12.5703125" customWidth="1"/>
  </cols>
  <sheetData>
    <row r="1" spans="1:24" s="8" customFormat="1" ht="17.25" x14ac:dyDescent="0.3">
      <c r="A1" s="58" t="s">
        <v>12</v>
      </c>
      <c r="B1" s="58"/>
      <c r="C1" s="58"/>
      <c r="D1" s="58"/>
      <c r="E1" s="58"/>
      <c r="F1" s="58"/>
      <c r="G1" s="58"/>
      <c r="H1" s="58"/>
      <c r="I1" s="58"/>
      <c r="J1" s="58"/>
      <c r="K1" s="58"/>
      <c r="X1" s="9"/>
    </row>
    <row r="2" spans="1:24" s="8" customFormat="1" ht="17.25" hidden="1" x14ac:dyDescent="0.3">
      <c r="A2" s="30"/>
      <c r="B2" s="31">
        <f>+B3-80-DAY(B3-80)</f>
        <v>46203</v>
      </c>
      <c r="C2" s="31">
        <f>DATE(YEAR(C3)-1,12,31)</f>
        <v>46022</v>
      </c>
      <c r="D2" s="31">
        <f>DATE(YEAR(D3)-D4,MONTH(D3),DAY(D3))</f>
        <v>45930</v>
      </c>
      <c r="E2" s="31">
        <f>DATE(YEAR(E3)-E4,MONTH(E3),DAY(E3))</f>
        <v>45199</v>
      </c>
      <c r="F2" s="31">
        <f>DATE(YEAR(F3)-F4,MONTH(F3),DAY(F3))</f>
        <v>44469</v>
      </c>
      <c r="G2" s="31">
        <f>DATE(YEAR(G3)-G4,MONTH(G3),DAY(G3))</f>
        <v>42643</v>
      </c>
      <c r="H2" s="31"/>
      <c r="I2" s="31"/>
      <c r="J2" s="31"/>
      <c r="K2" s="30"/>
      <c r="X2" s="9"/>
    </row>
    <row r="3" spans="1:24" hidden="1" x14ac:dyDescent="0.2">
      <c r="B3" s="31">
        <f>'Composite Returns'!$B$2</f>
        <v>46295</v>
      </c>
      <c r="C3" s="31">
        <f>'Composite Returns'!$B$2</f>
        <v>46295</v>
      </c>
      <c r="D3" s="31">
        <f>'Composite Returns'!$B$2</f>
        <v>46295</v>
      </c>
      <c r="E3" s="31">
        <f>'Composite Returns'!$B$2</f>
        <v>46295</v>
      </c>
      <c r="F3" s="31">
        <f>'Composite Returns'!$B$2</f>
        <v>46295</v>
      </c>
      <c r="G3" s="31">
        <f>'Composite Returns'!$B$2</f>
        <v>46295</v>
      </c>
      <c r="H3" s="31"/>
      <c r="I3" s="31"/>
      <c r="J3" s="31"/>
    </row>
    <row r="4" spans="1:24" s="24" customFormat="1" ht="14.25" hidden="1" customHeight="1" x14ac:dyDescent="0.2">
      <c r="B4" s="43"/>
      <c r="C4" s="24">
        <v>1</v>
      </c>
      <c r="D4" s="24">
        <v>1</v>
      </c>
      <c r="E4" s="24">
        <v>3</v>
      </c>
      <c r="F4" s="24">
        <v>5</v>
      </c>
      <c r="G4" s="24">
        <v>10</v>
      </c>
      <c r="I4" s="43"/>
      <c r="J4" s="43"/>
    </row>
    <row r="5" spans="1:24" ht="13.5" x14ac:dyDescent="0.25">
      <c r="A5" s="15" t="s">
        <v>17</v>
      </c>
      <c r="B5" s="16" t="s">
        <v>80</v>
      </c>
      <c r="C5" s="16" t="s">
        <v>34</v>
      </c>
      <c r="D5" s="16" t="s">
        <v>23</v>
      </c>
      <c r="E5" s="16" t="s">
        <v>22</v>
      </c>
      <c r="F5" s="16" t="s">
        <v>24</v>
      </c>
      <c r="G5" s="16" t="s">
        <v>38</v>
      </c>
      <c r="H5" s="16" t="s">
        <v>20</v>
      </c>
      <c r="I5" s="16" t="s">
        <v>21</v>
      </c>
      <c r="J5" s="16" t="s">
        <v>50</v>
      </c>
      <c r="K5" s="15" t="s">
        <v>39</v>
      </c>
    </row>
    <row r="6" spans="1:24" ht="14.25" customHeight="1" x14ac:dyDescent="0.25">
      <c r="A6" s="19" t="s">
        <v>49</v>
      </c>
      <c r="B6" s="17">
        <f>(VLOOKUP(B$3,'Composite Returns'!$A$5:$K167,11,0)/VLOOKUP(B$2,'Composite Returns'!$A$5:$K167,11,0))-1</f>
        <v>2.6575616779999978E-2</v>
      </c>
      <c r="C6" s="17">
        <f>(VLOOKUP(C$3,'Composite Returns'!$A$5:$K167,11,0)/VLOOKUP(C$2,'Composite Returns'!$A$5:$K167,11,0))-1</f>
        <v>0.14210248706562001</v>
      </c>
      <c r="D6" s="17">
        <f>(VLOOKUP(D$3,'Composite Returns'!$A$5:$K167,11,0)/VLOOKUP(D$2,'Composite Returns'!$A$5:$K167,11,0))-1</f>
        <v>0.16982316159017086</v>
      </c>
      <c r="E6" s="17">
        <f>(VLOOKUP(E$3,'Composite Returns'!$A$5:$K167,11,0)/VLOOKUP(E$2,'Composite Returns'!$A$5:$K167,11,0))^(1/E$4)-1</f>
        <v>0.11257401749433638</v>
      </c>
      <c r="F6" s="17">
        <f>(VLOOKUP(F$3,'Composite Returns'!$A$5:$K167,11,0)/VLOOKUP(F$2,'Composite Returns'!$A$5:$K167,11,0))^(1/F$4)-1</f>
        <v>8.0203967740457793E-2</v>
      </c>
      <c r="G6" s="17">
        <f>(VLOOKUP(G$3,'Composite Returns'!$A$5:$K167,11,0)/VLOOKUP(G$2,'Composite Returns'!$A$5:$K167,11,0))^(1/G$4)-1</f>
        <v>9.6277136861948165E-2</v>
      </c>
      <c r="H6" s="17">
        <f>(VLOOKUP(B$3,'Composite Returns'!$A$5:$K167,11,0)/VLOOKUP(K6,'Composite Returns'!$A$5:$K167,11,0))-1</f>
        <v>4.1221010167032306</v>
      </c>
      <c r="I6" s="18">
        <f>(1+H6)^(1/J6)-1</f>
        <v>0.10573825346571142</v>
      </c>
      <c r="J6" s="42">
        <f>+(B$3-K6)/365.242</f>
        <v>16.25223824204226</v>
      </c>
      <c r="K6" s="22">
        <v>40359</v>
      </c>
    </row>
    <row r="7" spans="1:24" ht="14.25" customHeight="1" x14ac:dyDescent="0.25">
      <c r="A7" s="19" t="s">
        <v>48</v>
      </c>
      <c r="B7" s="17">
        <f>(VLOOKUP(B$3,'Composite Returns'!$A$171:$K313,11,0)/VLOOKUP(B$2,'Composite Returns'!$A$171:$K313,11,0))-1</f>
        <v>-7.2611439430001479E-3</v>
      </c>
      <c r="C7" s="17">
        <f>(VLOOKUP(C$3,'Composite Returns'!$A$171:$K313,11,0)/VLOOKUP(C$2,'Composite Returns'!$A$171:$K313,11,0))-1</f>
        <v>3.2548541401658637E-2</v>
      </c>
      <c r="D7" s="17">
        <f>(VLOOKUP(D$3,'Composite Returns'!$A$171:$K313,11,0)/VLOOKUP(D$2,'Composite Returns'!$A$171:$K313,11,0))-1</f>
        <v>7.8966737127308839E-2</v>
      </c>
      <c r="E7" s="17">
        <f>(VLOOKUP(E$3,'Composite Returns'!$A$171:$K313,11,0)/VLOOKUP(E$2,'Composite Returns'!$A$171:$K313,11,0))^(1/E$4)-1</f>
        <v>8.7889473251397954E-2</v>
      </c>
      <c r="F7" s="17">
        <f>(VLOOKUP(F$3,'Composite Returns'!$A$171:$K313,11,0)/VLOOKUP(F$2,'Composite Returns'!$A$171:$K313,11,0))^(1/F$4)-1</f>
        <v>5.27206353709333E-2</v>
      </c>
      <c r="G7" s="17">
        <f>(VLOOKUP(G$3,'Composite Returns'!$A$171:$K313,11,0)/VLOOKUP(G$2,'Composite Returns'!$A$171:$K313,11,0))^(1/G$4)-1</f>
        <v>7.7075035022182714E-2</v>
      </c>
      <c r="H7" s="17">
        <f>(VLOOKUP(B$3,'Composite Returns'!$A$171:$K313,11,0)/VLOOKUP(K7,'Composite Returns'!$A$171:$K313,11,0))-1</f>
        <v>1.4550110321459222</v>
      </c>
      <c r="I7" s="18">
        <f t="shared" ref="I7:I17" si="0">(1+H7)^(1/J7)-1</f>
        <v>7.9445274784560649E-2</v>
      </c>
      <c r="J7" s="42">
        <f t="shared" ref="J7:J20" si="1">+(B$3-K7)/365.242</f>
        <v>11.748375049966871</v>
      </c>
      <c r="K7" s="22">
        <v>42004</v>
      </c>
    </row>
    <row r="8" spans="1:24" ht="14.25" customHeight="1" x14ac:dyDescent="0.25">
      <c r="A8" s="19" t="s">
        <v>47</v>
      </c>
      <c r="B8" s="17">
        <f>(VLOOKUP(B$3,'Composite Returns'!$A$317:$K447,11,0)/VLOOKUP(B$2,'Composite Returns'!$A$317:$K447,11,0))-1</f>
        <v>2.542355216000014E-2</v>
      </c>
      <c r="C8" s="17">
        <f>(VLOOKUP(C$3,'Composite Returns'!$A$317:$K447,11,0)/VLOOKUP(C$2,'Composite Returns'!$A$317:$K447,11,0))-1</f>
        <v>0.10186570967369413</v>
      </c>
      <c r="D8" s="17">
        <f>(VLOOKUP(D$3,'Composite Returns'!$A$317:$K447,11,0)/VLOOKUP(D$2,'Composite Returns'!$A$317:$K447,11,0))-1</f>
        <v>0.1275361674964357</v>
      </c>
      <c r="E8" s="17">
        <f>(VLOOKUP(E$3,'Composite Returns'!$A$317:$K447,11,0)/VLOOKUP(E$2,'Composite Returns'!$A$317:$K447,11,0))^(1/E$4)-1</f>
        <v>0.10505537446194935</v>
      </c>
      <c r="F8" s="17">
        <f>(VLOOKUP(F$3,'Composite Returns'!$A$317:$K447,11,0)/VLOOKUP(F$2,'Composite Returns'!$A$317:$K447,11,0))^(1/F$4)-1</f>
        <v>6.9894708302866038E-2</v>
      </c>
      <c r="G8" s="17">
        <f>(VLOOKUP(G$3,'Composite Returns'!$A$317:$K447,11,0)/VLOOKUP(G$2,'Composite Returns'!$A$317:$K447,11,0))^(1/G$4)-1</f>
        <v>9.8741396626644162E-2</v>
      </c>
      <c r="H8" s="17">
        <f>(VLOOKUP(B$3,'Composite Returns'!$A$317:$K447,11,0)/VLOOKUP(K8,'Composite Returns'!$A$317:$K447,11,0))-1</f>
        <v>1.8662029156527238</v>
      </c>
      <c r="I8" s="18">
        <f t="shared" si="0"/>
        <v>0.10291994002490412</v>
      </c>
      <c r="J8" s="42">
        <f t="shared" si="1"/>
        <v>10.749037624369596</v>
      </c>
      <c r="K8" s="22">
        <v>42369</v>
      </c>
    </row>
    <row r="9" spans="1:24" ht="14.25" customHeight="1" x14ac:dyDescent="0.25">
      <c r="A9" s="19" t="s">
        <v>46</v>
      </c>
      <c r="B9" s="17">
        <f>(VLOOKUP(B$3,'Composite Returns'!$A$451:$K560,11,0)/VLOOKUP(B$2,'Composite Returns'!$A$451:$K560,11,0))-1</f>
        <v>5.2828790000001291E-3</v>
      </c>
      <c r="C9" s="17">
        <f>(VLOOKUP(C$3,'Composite Returns'!$A$451:$K560,11,0)/VLOOKUP(C$2,'Composite Returns'!$A$451:$K560,11,0))-1</f>
        <v>6.7526256400966878E-2</v>
      </c>
      <c r="D9" s="17">
        <f>(VLOOKUP(D$3,'Composite Returns'!$A$451:$K560,11,0)/VLOOKUP(D$2,'Composite Returns'!$A$451:$K560,11,0))-1</f>
        <v>7.8398302984578727E-2</v>
      </c>
      <c r="E9" s="17">
        <f>(VLOOKUP(E$3,'Composite Returns'!$A$451:$K560,11,0)/VLOOKUP(E$2,'Composite Returns'!$A$451:$K560,11,0))^(1/E$4)-1</f>
        <v>8.8433436397936438E-2</v>
      </c>
      <c r="F9" s="17">
        <f>(VLOOKUP(F$3,'Composite Returns'!$A$451:$K560,11,0)/VLOOKUP(F$2,'Composite Returns'!$A$451:$K560,11,0))^(1/F$4)-1</f>
        <v>5.5610551916043249E-2</v>
      </c>
      <c r="G9" s="17" t="s">
        <v>94</v>
      </c>
      <c r="H9" s="17">
        <f>(VLOOKUP(B$3,'Composite Returns'!$A$451:$K560,11,0)/VLOOKUP(K9,'Composite Returns'!$A$451:$K560,11,0))-1</f>
        <v>1.1076339751347883</v>
      </c>
      <c r="I9" s="18">
        <f t="shared" si="0"/>
        <v>8.6373571051709952E-2</v>
      </c>
      <c r="J9" s="42">
        <f t="shared" si="1"/>
        <v>8.999512651885599</v>
      </c>
      <c r="K9" s="22">
        <v>43008</v>
      </c>
    </row>
    <row r="10" spans="1:24" ht="14.25" customHeight="1" x14ac:dyDescent="0.25">
      <c r="A10" s="19" t="s">
        <v>97</v>
      </c>
      <c r="B10" s="17">
        <f>(VLOOKUP(B$3,'Composite Returns'!$A$564:$K$574,11,0)/VLOOKUP(B$2,'Composite Returns'!$A$564:$K$574,11,0))-1</f>
        <v>2.2960663559999928E-2</v>
      </c>
      <c r="C10" s="17">
        <f>(VLOOKUP(C$3,'Composite Returns'!$A$564:$K$574,11,0)/VLOOKUP(C$2,'Composite Returns'!$A$564:$K$574,11,0))-1</f>
        <v>0.14768802593717978</v>
      </c>
      <c r="D10" s="17" t="s">
        <v>94</v>
      </c>
      <c r="E10" s="17" t="s">
        <v>94</v>
      </c>
      <c r="F10" s="17" t="s">
        <v>94</v>
      </c>
      <c r="G10" s="17" t="s">
        <v>94</v>
      </c>
      <c r="H10" s="17">
        <f>(VLOOKUP(B$3,'Composite Returns'!$A$564:$K$574,11,0)/VLOOKUP(K10,'Composite Returns'!$A$564:$K$574,11,0))-1</f>
        <v>0.14768802593717978</v>
      </c>
      <c r="I10" s="18" t="s">
        <v>94</v>
      </c>
      <c r="J10" s="42">
        <f t="shared" ref="J10" si="2">+(B$3-K10)/365.242</f>
        <v>0.7474496361316606</v>
      </c>
      <c r="K10" s="22">
        <v>46022</v>
      </c>
    </row>
    <row r="11" spans="1:24" ht="14.25" customHeight="1" x14ac:dyDescent="0.25">
      <c r="A11" s="19" t="s">
        <v>13</v>
      </c>
      <c r="B11" s="17">
        <f>(VLOOKUP(B$3,'Composite Returns'!$A$578:$K740,11,0)/VLOOKUP(B$2,'Composite Returns'!$A$578:$K740,11,0))-1</f>
        <v>2.1798780722000144E-2</v>
      </c>
      <c r="C11" s="17">
        <f>(VLOOKUP(C$3,'Composite Returns'!$A$578:$K740,11,0)/VLOOKUP(C$2,'Composite Returns'!$A$578:$K740,11,0))-1</f>
        <v>9.9113389539380314E-2</v>
      </c>
      <c r="D11" s="17">
        <f>(VLOOKUP(D$3,'Composite Returns'!$A$578:$K740,11,0)/VLOOKUP(D$2,'Composite Returns'!$A$578:$K740,11,0))-1</f>
        <v>0.12012148472093798</v>
      </c>
      <c r="E11" s="17">
        <f>(VLOOKUP(E$3,'Composite Returns'!$A$578:$K740,11,0)/VLOOKUP(E$2,'Composite Returns'!$A$578:$K740,11,0))^(1/E$4)-1</f>
        <v>9.5968501721741317E-2</v>
      </c>
      <c r="F11" s="17">
        <f>(VLOOKUP(F$3,'Composite Returns'!$A$578:$K740,11,0)/VLOOKUP(F$2,'Composite Returns'!$A$578:$K740,11,0))^(1/F$4)-1</f>
        <v>6.2097205841909364E-2</v>
      </c>
      <c r="G11" s="17">
        <f>(VLOOKUP(G$3,'Composite Returns'!$A$578:$K740,11,0)/VLOOKUP(G$2,'Composite Returns'!$A$578:$K740,11,0))^(1/G$4)-1</f>
        <v>7.3546338374073539E-2</v>
      </c>
      <c r="H11" s="17">
        <f>(VLOOKUP(B$3,'Composite Returns'!$A$578:$K740,11,0)/VLOOKUP(K11,'Composite Returns'!$A$578:$K740,11,0))-1</f>
        <v>2.4785390230658835</v>
      </c>
      <c r="I11" s="18">
        <f t="shared" si="0"/>
        <v>7.9722477922673285E-2</v>
      </c>
      <c r="J11" s="42">
        <f t="shared" si="1"/>
        <v>16.25223824204226</v>
      </c>
      <c r="K11" s="22">
        <v>40359</v>
      </c>
    </row>
    <row r="12" spans="1:24" ht="14.25" customHeight="1" x14ac:dyDescent="0.25">
      <c r="A12" s="19" t="s">
        <v>14</v>
      </c>
      <c r="B12" s="17">
        <f>(VLOOKUP(B$3,'Composite Returns'!$A$744:$K905,11,0)/VLOOKUP(B$2,'Composite Returns'!$A$744:$K905,11,0))-1</f>
        <v>-7.1530649700002336E-4</v>
      </c>
      <c r="C12" s="17">
        <f>(VLOOKUP(C$3,'Composite Returns'!$A$744:$K905,11,0)/VLOOKUP(C$2,'Composite Returns'!$A$744:$K905,11,0))-1</f>
        <v>1.1324940766566316E-2</v>
      </c>
      <c r="D12" s="17">
        <f>(VLOOKUP(D$3,'Composite Returns'!$A$744:$K905,11,0)/VLOOKUP(D$2,'Composite Returns'!$A$744:$K905,11,0))-1</f>
        <v>1.9741854733846376E-2</v>
      </c>
      <c r="E12" s="17">
        <f>(VLOOKUP(E$3,'Composite Returns'!$A$744:$K905,11,0)/VLOOKUP(E$2,'Composite Returns'!$A$744:$K905,11,0))^(1/E$4)-1</f>
        <v>4.2737078068218803E-2</v>
      </c>
      <c r="F12" s="17">
        <f>(VLOOKUP(F$3,'Composite Returns'!$A$744:$K905,11,0)/VLOOKUP(F$2,'Composite Returns'!$A$744:$K905,11,0))^(1/F$4)-1</f>
        <v>1.6887781148435144E-2</v>
      </c>
      <c r="G12" s="17">
        <f>(VLOOKUP(G$3,'Composite Returns'!$A$744:$K905,11,0)/VLOOKUP(G$2,'Composite Returns'!$A$744:$K905,11,0))^(1/G$4)-1</f>
        <v>1.8705195584338252E-2</v>
      </c>
      <c r="H12" s="17">
        <f>(VLOOKUP(B$3,'Composite Returns'!$A$744:$K905,11,0)/VLOOKUP(K12,'Composite Returns'!$A$744:$K905,11,0))-1</f>
        <v>0.34625641932144591</v>
      </c>
      <c r="I12" s="18">
        <f t="shared" si="0"/>
        <v>1.8756305846233445E-2</v>
      </c>
      <c r="J12" s="42">
        <f t="shared" si="1"/>
        <v>16.000350452576647</v>
      </c>
      <c r="K12" s="22">
        <v>40451</v>
      </c>
    </row>
    <row r="13" spans="1:24" ht="14.25" customHeight="1" x14ac:dyDescent="0.25">
      <c r="A13" s="19" t="s">
        <v>45</v>
      </c>
      <c r="B13" s="17">
        <f>(VLOOKUP(B$3,'Composite Returns'!$A$5:$S167,19,0)/VLOOKUP(B$2,'Composite Returns'!$A$5:$S167,19,0))-1</f>
        <v>-3.8738995359999917E-2</v>
      </c>
      <c r="C13" s="17">
        <f>(VLOOKUP(C$3,'Composite Returns'!$A$5:$S167,19,0)/VLOOKUP(C$2,'Composite Returns'!$A$5:$S167,19,0))-1</f>
        <v>8.4538958685386634E-2</v>
      </c>
      <c r="D13" s="17">
        <f>(VLOOKUP(D$3,'Composite Returns'!$A$5:$S167,19,0)/VLOOKUP(D$2,'Composite Returns'!$A$5:$S167,19,0))-1</f>
        <v>7.9212861477786944E-2</v>
      </c>
      <c r="E13" s="17">
        <f>(VLOOKUP(E$3,'Composite Returns'!$A$5:$S167,19,0)/VLOOKUP(E$2,'Composite Returns'!$A$5:$S167,19,0))^(1/E$4)-1</f>
        <v>0.14054112616434189</v>
      </c>
      <c r="F13" s="17">
        <f>(VLOOKUP(F$3,'Composite Returns'!$A$5:$S167,19,0)/VLOOKUP(F$2,'Composite Returns'!$A$5:$S167,19,0))^(1/F$4)-1</f>
        <v>7.7344675337802204E-2</v>
      </c>
      <c r="G13" s="17">
        <f>(VLOOKUP(G$3,'Composite Returns'!$A$5:$S167,19,0)/VLOOKUP(G$2,'Composite Returns'!$A$5:$S167,19,0))^(1/G$4)-1</f>
        <v>7.8381861742714776E-2</v>
      </c>
      <c r="H13" s="17">
        <f>(VLOOKUP(B$3,'Composite Returns'!$A$5:$S167,19,0)/VLOOKUP(K13,'Composite Returns'!$A$5:$S167,19,0))-1</f>
        <v>4.8569474286761043</v>
      </c>
      <c r="I13" s="18">
        <f>(1+H13)^(1/J13)-1</f>
        <v>0.11489715271062928</v>
      </c>
      <c r="J13" s="42">
        <f t="shared" si="1"/>
        <v>16.25223824204226</v>
      </c>
      <c r="K13" s="22">
        <v>40359</v>
      </c>
    </row>
    <row r="14" spans="1:24" ht="14.25" customHeight="1" x14ac:dyDescent="0.25">
      <c r="A14" s="19" t="s">
        <v>15</v>
      </c>
      <c r="B14" s="17">
        <f>(VLOOKUP(B$3,'Composite Returns'!$A$5:$O167,15,0)/VLOOKUP(B$2,'Composite Returns'!$A$5:$O167,15,0))-1</f>
        <v>2.2990637119999935E-2</v>
      </c>
      <c r="C14" s="17">
        <f>(VLOOKUP(C$3,'Composite Returns'!$A$5:$O167,15,0)/VLOOKUP(C$2,'Composite Returns'!$A$5:$O167,15,0))-1</f>
        <v>0.12736957753030387</v>
      </c>
      <c r="D14" s="17">
        <f>(VLOOKUP(D$3,'Composite Returns'!$A$5:$O167,15,0)/VLOOKUP(D$2,'Composite Returns'!$A$5:$O167,15,0))-1</f>
        <v>0.15732838134904914</v>
      </c>
      <c r="E14" s="17">
        <f>(VLOOKUP(E$3,'Composite Returns'!$A$5:$O167,15,0)/VLOOKUP(E$2,'Composite Returns'!$A$5:$O167,15,0))^(1/E$4)-1</f>
        <v>0.22895566425270752</v>
      </c>
      <c r="F14" s="17">
        <f>(VLOOKUP(F$3,'Composite Returns'!$A$5:$O167,15,0)/VLOOKUP(F$2,'Composite Returns'!$A$5:$O167,15,0))^(1/F$4)-1</f>
        <v>0.13795907908567084</v>
      </c>
      <c r="G14" s="17">
        <f>(VLOOKUP(G$3,'Composite Returns'!$A$5:$O167,15,0)/VLOOKUP(G$2,'Composite Returns'!$A$5:$O167,15,0))^(1/G$4)-1</f>
        <v>0.15339479961870772</v>
      </c>
      <c r="H14" s="17">
        <f>(VLOOKUP(B$3,'Composite Returns'!$A$5:$O167,15,0)/VLOOKUP(K14,'Composite Returns'!$A$5:$O167,15,0))-1</f>
        <v>9.0108324666326443</v>
      </c>
      <c r="I14" s="18">
        <f t="shared" si="0"/>
        <v>0.15228237084391294</v>
      </c>
      <c r="J14" s="42">
        <f t="shared" si="1"/>
        <v>16.25223824204226</v>
      </c>
      <c r="K14" s="22">
        <v>40359</v>
      </c>
    </row>
    <row r="15" spans="1:24" ht="14.25" customHeight="1" x14ac:dyDescent="0.25">
      <c r="A15" s="19" t="s">
        <v>36</v>
      </c>
      <c r="B15" s="17">
        <f>(VLOOKUP(B$3,'Composite Returns'!$A$171:$S313,19,0)/VLOOKUP(B$2,'Composite Returns'!$A$171:$S313,19,0))-1</f>
        <v>-5.0190198040000022E-2</v>
      </c>
      <c r="C15" s="17">
        <f>(VLOOKUP(C$3,'Composite Returns'!$A$171:$S313,19,0)/VLOOKUP(C$2,'Composite Returns'!$A$171:$S313,19,0))-1</f>
        <v>4.6019346206792378E-2</v>
      </c>
      <c r="D15" s="17">
        <f>(VLOOKUP(D$3,'Composite Returns'!$A$171:$S313,19,0)/VLOOKUP(D$2,'Composite Returns'!$A$171:$S313,19,0))-1</f>
        <v>4.1223060644088649E-2</v>
      </c>
      <c r="E15" s="17">
        <f>(VLOOKUP(E$3,'Composite Returns'!$A$171:$S313,19,0)/VLOOKUP(E$2,'Composite Returns'!$A$171:$S313,19,0))^(1/E$4)-1</f>
        <v>0.12130797224710999</v>
      </c>
      <c r="F15" s="17">
        <f>(VLOOKUP(F$3,'Composite Returns'!$A$171:$S313,19,0)/VLOOKUP(F$2,'Composite Returns'!$A$171:$S313,19,0))^(1/F$4)-1</f>
        <v>8.006411702134919E-2</v>
      </c>
      <c r="G15" s="17">
        <f>(VLOOKUP(G$3,'Composite Returns'!$A$171:$S313,19,0)/VLOOKUP(G$2,'Composite Returns'!$A$171:$S313,19,0))^(1/G$4)-1</f>
        <v>9.3179027087646249E-2</v>
      </c>
      <c r="H15" s="17">
        <f>(VLOOKUP(B$3,'Composite Returns'!$A$171:$S313,19,0)/VLOOKUP(K15,'Composite Returns'!$A$171:$S313,19,0))-1</f>
        <v>1.9279316829341129</v>
      </c>
      <c r="I15" s="18">
        <f>(1+H15)^(1/J15)-1</f>
        <v>9.5753347278095591E-2</v>
      </c>
      <c r="J15" s="42">
        <f t="shared" si="1"/>
        <v>11.748375049966871</v>
      </c>
      <c r="K15" s="22">
        <v>42004</v>
      </c>
    </row>
    <row r="16" spans="1:24" ht="14.25" customHeight="1" x14ac:dyDescent="0.25">
      <c r="A16" s="19" t="s">
        <v>32</v>
      </c>
      <c r="B16" s="17">
        <f>(VLOOKUP(B$3,'Composite Returns'!$A$171:$O313,15,0)/VLOOKUP(B$2,'Composite Returns'!$A$171:$O313,15,0))-1</f>
        <v>-6.3593133460000062E-2</v>
      </c>
      <c r="C16" s="17">
        <f>(VLOOKUP(C$3,'Composite Returns'!$A$171:$O313,15,0)/VLOOKUP(C$2,'Composite Returns'!$A$171:$O313,15,0))-1</f>
        <v>9.8672079326939999E-2</v>
      </c>
      <c r="D16" s="17">
        <f>(VLOOKUP(D$3,'Composite Returns'!$A$171:$O313,15,0)/VLOOKUP(D$2,'Composite Returns'!$A$171:$O313,15,0))-1</f>
        <v>0.11670638879425033</v>
      </c>
      <c r="E16" s="17">
        <f>(VLOOKUP(E$3,'Composite Returns'!$A$171:$O313,15,0)/VLOOKUP(E$2,'Composite Returns'!$A$171:$O313,15,0))^(1/E$4)-1</f>
        <v>0.14544738351693987</v>
      </c>
      <c r="F16" s="17">
        <f>(VLOOKUP(F$3,'Composite Returns'!$A$171:$O313,15,0)/VLOOKUP(F$2,'Composite Returns'!$A$171:$O313,15,0))^(1/F$4)-1</f>
        <v>8.0313852612217573E-2</v>
      </c>
      <c r="G16" s="17">
        <f>(VLOOKUP(G$3,'Composite Returns'!$A$171:$O313,15,0)/VLOOKUP(G$2,'Composite Returns'!$A$171:$O313,15,0))^(1/G$4)-1</f>
        <v>0.10468996618131099</v>
      </c>
      <c r="H16" s="17">
        <f>(VLOOKUP(B$3,'Composite Returns'!$A$171:$O313,15,0)/VLOOKUP(K16,'Composite Returns'!$A$171:$O313,15,0))-1</f>
        <v>1.9758290045269691</v>
      </c>
      <c r="I16" s="18">
        <f t="shared" si="0"/>
        <v>9.7267804329410401E-2</v>
      </c>
      <c r="J16" s="42">
        <f t="shared" si="1"/>
        <v>11.748375049966871</v>
      </c>
      <c r="K16" s="22">
        <v>42004</v>
      </c>
    </row>
    <row r="17" spans="1:13" ht="14.25" customHeight="1" x14ac:dyDescent="0.25">
      <c r="A17" s="19" t="s">
        <v>37</v>
      </c>
      <c r="B17" s="17">
        <f>(VLOOKUP(B$3,'Composite Returns'!$A$317:$S447,19,0)/VLOOKUP(B$2,'Composite Returns'!$A$317:$S447,19,0))-1</f>
        <v>-1.8317058880000014E-2</v>
      </c>
      <c r="C17" s="17">
        <f>(VLOOKUP(C$3,'Composite Returns'!$A$317:$S447,19,0)/VLOOKUP(C$2,'Composite Returns'!$A$317:$S447,19,0))-1</f>
        <v>0.1061353693045648</v>
      </c>
      <c r="D17" s="17">
        <f>(VLOOKUP(D$3,'Composite Returns'!$A$317:$S447,19,0)/VLOOKUP(D$2,'Composite Returns'!$A$317:$S447,19,0))-1</f>
        <v>0.11231874090102356</v>
      </c>
      <c r="E17" s="17">
        <f>(VLOOKUP(E$3,'Composite Returns'!$A$317:$S447,19,0)/VLOOKUP(E$2,'Composite Returns'!$A$317:$S447,19,0))^(1/E$4)-1</f>
        <v>0.16798688321904276</v>
      </c>
      <c r="F17" s="17">
        <f>(VLOOKUP(F$3,'Composite Returns'!$A$317:$S447,19,0)/VLOOKUP(F$2,'Composite Returns'!$A$317:$S447,19,0))^(1/F$4)-1</f>
        <v>0.10112684917009096</v>
      </c>
      <c r="G17" s="17">
        <f>(VLOOKUP(G$3,'Composite Returns'!$A$317:$S447,19,0)/VLOOKUP(G$2,'Composite Returns'!$A$317:$S447,19,0))^(1/G$4)-1</f>
        <v>0.10191649691237448</v>
      </c>
      <c r="H17" s="17">
        <f>(VLOOKUP(B$3,'Composite Returns'!$A$317:$S447,19,0)/VLOOKUP(K17,'Composite Returns'!$A$317:$S447,19,0))-1</f>
        <v>2.0913921263174773</v>
      </c>
      <c r="I17" s="18">
        <f t="shared" si="0"/>
        <v>0.1107077754905037</v>
      </c>
      <c r="J17" s="42">
        <f t="shared" si="1"/>
        <v>10.749037624369596</v>
      </c>
      <c r="K17" s="22">
        <v>42369</v>
      </c>
    </row>
    <row r="18" spans="1:13" ht="14.25" customHeight="1" x14ac:dyDescent="0.25">
      <c r="A18" s="19" t="s">
        <v>35</v>
      </c>
      <c r="B18" s="17">
        <f>(VLOOKUP(B$3,'Composite Returns'!$A$317:$O447,15,0)/VLOOKUP(B$2,'Composite Returns'!$A$317:$O447,15,0))-1</f>
        <v>1.3981621751999906E-2</v>
      </c>
      <c r="C18" s="17">
        <f>(VLOOKUP(C$3,'Composite Returns'!$A$317:$O447,15,0)/VLOOKUP(C$2,'Composite Returns'!$A$317:$O447,15,0))-1</f>
        <v>0.12450967288541026</v>
      </c>
      <c r="D18" s="17">
        <f>(VLOOKUP(D$3,'Composite Returns'!$A$317:$O447,15,0)/VLOOKUP(D$2,'Composite Returns'!$A$317:$O447,15,0))-1</f>
        <v>0.15167257282814961</v>
      </c>
      <c r="E18" s="17">
        <f>(VLOOKUP(E$3,'Composite Returns'!$A$317:$O447,15,0)/VLOOKUP(E$2,'Composite Returns'!$A$317:$O447,15,0))^(1/E$4)-1</f>
        <v>0.22274811493638613</v>
      </c>
      <c r="F18" s="17">
        <f>(VLOOKUP(F$3,'Composite Returns'!$A$317:$O447,15,0)/VLOOKUP(F$2,'Composite Returns'!$A$317:$O447,15,0))^(1/F$4)-1</f>
        <v>0.12657418975056833</v>
      </c>
      <c r="G18" s="17">
        <f>(VLOOKUP(G$3,'Composite Returns'!$A$317:$O447,15,0)/VLOOKUP(G$2,'Composite Returns'!$A$317:$O447,15,0))^(1/G$4)-1</f>
        <v>0.14732579619171782</v>
      </c>
      <c r="H18" s="17">
        <f>(VLOOKUP(B$3,'Composite Returns'!$A$317:$O447,15,0)/VLOOKUP(K18,'Composite Returns'!$A$317:$O447,15,0))-1</f>
        <v>3.276205207053942</v>
      </c>
      <c r="I18" s="18">
        <f>(1+H18)^(1/J18)-1</f>
        <v>0.14474399911887126</v>
      </c>
      <c r="J18" s="42">
        <f t="shared" si="1"/>
        <v>10.749037624369596</v>
      </c>
      <c r="K18" s="22">
        <v>42369</v>
      </c>
    </row>
    <row r="19" spans="1:13" ht="14.25" customHeight="1" x14ac:dyDescent="0.25">
      <c r="A19" s="19" t="s">
        <v>16</v>
      </c>
      <c r="B19" s="17">
        <f>(VLOOKUP(B$3,'Composite Returns'!$A$744:$O905,15,0)/VLOOKUP(B$2,'Composite Returns'!$A$744:$O905,15,0))-1</f>
        <v>-3.5011866730000007E-2</v>
      </c>
      <c r="C19" s="17">
        <f>(VLOOKUP(C$3,'Composite Returns'!$A$744:$O905,15,0)/VLOOKUP(C$2,'Composite Returns'!$A$744:$O905,15,0))-1</f>
        <v>-2.9009023353529173E-2</v>
      </c>
      <c r="D19" s="17">
        <f>(VLOOKUP(D$3,'Composite Returns'!$A$744:$O905,15,0)/VLOOKUP(D$2,'Composite Returns'!$A$744:$O905,15,0))-1</f>
        <v>-1.8406013234445795E-2</v>
      </c>
      <c r="E19" s="17">
        <f>(VLOOKUP(E$3,'Composite Returns'!$A$744:$O905,15,0)/VLOOKUP(E$2,'Composite Returns'!$A$744:$O905,15,0))^(1/E$4)-1</f>
        <v>4.0645155143183009E-2</v>
      </c>
      <c r="F19" s="17">
        <f>(VLOOKUP(F$3,'Composite Returns'!$A$744:$O905,15,0)/VLOOKUP(F$2,'Composite Returns'!$A$744:$O905,15,0))^(1/F$4)-1</f>
        <v>-6.3863344879862005E-3</v>
      </c>
      <c r="G19" s="17">
        <f>(VLOOKUP(G$3,'Composite Returns'!$A$744:$O905,15,0)/VLOOKUP(G$2,'Composite Returns'!$A$744:$O905,15,0))^(1/G$4)-1</f>
        <v>1.1364521743921108E-2</v>
      </c>
      <c r="H19" s="17">
        <f>(VLOOKUP(B$3,'Composite Returns'!$A$744:$O905,15,0)/VLOOKUP(K19,'Composite Returns'!$A$744:$O905,15,0))-1</f>
        <v>0.34351088284624787</v>
      </c>
      <c r="I19" s="18">
        <f>(1+H19)^(1/J19)-1</f>
        <v>1.8626332061908446E-2</v>
      </c>
      <c r="J19" s="42">
        <f t="shared" si="1"/>
        <v>16.000350452576647</v>
      </c>
      <c r="K19" s="22">
        <v>40451</v>
      </c>
    </row>
    <row r="20" spans="1:13" ht="14.25" customHeight="1" x14ac:dyDescent="0.25">
      <c r="A20" s="19" t="s">
        <v>18</v>
      </c>
      <c r="B20" s="17">
        <f>(VLOOKUP(B$3,'Composite Returns'!$A$578:$O740,15,0)/VLOOKUP(B$2,'Composite Returns'!$A$578:$O740,15,0))-1</f>
        <v>-3.5221937499974043E-4</v>
      </c>
      <c r="C20" s="17">
        <f>(VLOOKUP(C$3,'Composite Returns'!$A$578:$O740,15,0)/VLOOKUP(C$2,'Composite Returns'!$A$578:$O740,15,0))-1</f>
        <v>6.3340488188447397E-2</v>
      </c>
      <c r="D20" s="17">
        <f>(VLOOKUP(D$3,'Composite Returns'!$A$578:$O740,15,0)/VLOOKUP(D$2,'Composite Returns'!$A$578:$O740,15,0))-1</f>
        <v>8.5528518611702298E-2</v>
      </c>
      <c r="E20" s="17">
        <f>(VLOOKUP(E$3,'Composite Returns'!$A$578:$O740,15,0)/VLOOKUP(E$2,'Composite Returns'!$A$578:$O740,15,0))^(1/E$4)-1</f>
        <v>0.151669171424613</v>
      </c>
      <c r="F20" s="17">
        <f>(VLOOKUP(F$3,'Composite Returns'!$A$578:$O740,15,0)/VLOOKUP(F$2,'Composite Returns'!$A$578:$O740,15,0))^(1/F$4)-1</f>
        <v>8.0081789126837277E-2</v>
      </c>
      <c r="G20" s="17">
        <f>(VLOOKUP(G$3,'Composite Returns'!$A$578:$O740,15,0)/VLOOKUP(G$2,'Composite Returns'!$A$578:$O740,15,0))^(1/G$4)-1</f>
        <v>9.7103890010225458E-2</v>
      </c>
      <c r="H20" s="17">
        <f>(VLOOKUP(B$3,'Composite Returns'!$A$578:$O740,15,0)/VLOOKUP(K20,'Composite Returns'!$A$578:$O740,15,0))-1</f>
        <v>3.7439827030407358</v>
      </c>
      <c r="I20" s="18">
        <f>(1+H20)^(1/J20)-1</f>
        <v>0.10053301528000169</v>
      </c>
      <c r="J20" s="42">
        <f t="shared" si="1"/>
        <v>16.25223824204226</v>
      </c>
      <c r="K20" s="22">
        <v>40359</v>
      </c>
    </row>
    <row r="22" spans="1:13" ht="37.5" customHeight="1" x14ac:dyDescent="0.2">
      <c r="A22" s="59" t="s">
        <v>33</v>
      </c>
      <c r="B22" s="59"/>
      <c r="C22" s="59"/>
      <c r="D22" s="59"/>
      <c r="E22" s="59"/>
      <c r="F22" s="59"/>
      <c r="G22" s="59"/>
      <c r="H22" s="59"/>
      <c r="I22" s="59"/>
      <c r="J22" s="59"/>
      <c r="K22" s="59"/>
    </row>
    <row r="23" spans="1:13" x14ac:dyDescent="0.2">
      <c r="A23" s="5" t="s">
        <v>19</v>
      </c>
      <c r="K23" s="23"/>
    </row>
    <row r="30" spans="1:13" ht="17.25" x14ac:dyDescent="0.3">
      <c r="A30" s="58" t="s">
        <v>41</v>
      </c>
      <c r="B30" s="58"/>
      <c r="C30" s="58"/>
      <c r="D30" s="58"/>
      <c r="E30" s="58"/>
      <c r="F30" s="58"/>
      <c r="G30" s="58"/>
      <c r="H30" s="58"/>
      <c r="I30" s="58"/>
      <c r="J30" s="58"/>
      <c r="K30" s="58"/>
    </row>
    <row r="31" spans="1:13" ht="40.5" x14ac:dyDescent="0.25">
      <c r="A31" s="15" t="s">
        <v>42</v>
      </c>
      <c r="B31" s="16" t="s">
        <v>49</v>
      </c>
      <c r="C31" s="16" t="s">
        <v>48</v>
      </c>
      <c r="D31" s="16" t="s">
        <v>47</v>
      </c>
      <c r="E31" s="16" t="s">
        <v>46</v>
      </c>
      <c r="F31" s="16" t="s">
        <v>15</v>
      </c>
      <c r="G31" s="16" t="s">
        <v>45</v>
      </c>
      <c r="H31" s="16" t="s">
        <v>31</v>
      </c>
      <c r="I31" s="16" t="s">
        <v>35</v>
      </c>
      <c r="J31" s="25"/>
      <c r="K31" s="25"/>
      <c r="M31" s="53">
        <v>46022</v>
      </c>
    </row>
    <row r="32" spans="1:13" ht="13.5" x14ac:dyDescent="0.25">
      <c r="A32" s="27">
        <v>2025</v>
      </c>
      <c r="B32" s="17">
        <f>(VLOOKUP(M$31,'Composite Returns'!$A$5:$K167,11,0)/VLOOKUP(M$32,'Composite Returns'!$A$5:$K167,11,0))-1</f>
        <v>6.5920396995224451E-2</v>
      </c>
      <c r="C32" s="17">
        <f>(VLOOKUP(M$31,'Composite Returns'!$A$171:$K313,11,0)/VLOOKUP(M$32,'Composite Returns'!$A$171:$K313,11,0))-1</f>
        <v>4.3590109500589502E-2</v>
      </c>
      <c r="D32" s="17">
        <f>(VLOOKUP(M$31,'Composite Returns'!$A$317:$K447,11,0)/VLOOKUP(M$32,'Composite Returns'!$A$317:$K447,11,0))-1</f>
        <v>6.9147968283344685E-2</v>
      </c>
      <c r="E32" s="17">
        <f>(VLOOKUP(M$31,'Composite Returns'!$A$451:$K560,11,0)/VLOOKUP(M$32,'Composite Returns'!$A$451:$K560,11,0))-1</f>
        <v>3.0877655516755143E-2</v>
      </c>
      <c r="F32" s="17">
        <f>(VLOOKUP(M$31,'Composite Returns'!$A$5:$O167,15,0)/VLOOKUP(M$32,'Composite Returns'!$A$5:$O167,15,0))-1</f>
        <v>0.17885002601295152</v>
      </c>
      <c r="G32" s="17">
        <f>(VLOOKUP(M$31,'Composite Returns'!$A$5:$S167,19,0)/VLOOKUP(M$32,'Composite Returns'!$A$5:$S167,19,0))-1</f>
        <v>4.6763257620593635E-2</v>
      </c>
      <c r="H32" s="17">
        <f>(VLOOKUP(M$31,'Composite Returns'!$A$171:$O313,15,0)/VLOOKUP(M$32,'Composite Returns'!$A$171:$O313,15,0))-1</f>
        <v>7.5019221042526008E-2</v>
      </c>
      <c r="I32" s="17">
        <f>(VLOOKUP(M$31,'Composite Returns'!$A$317:$O447,15,0)/VLOOKUP(M$32,'Composite Returns'!$A$317:$O447,15,0))-1</f>
        <v>0.17168067655984598</v>
      </c>
      <c r="K32" s="26"/>
      <c r="M32" s="53">
        <v>45657</v>
      </c>
    </row>
    <row r="33" spans="1:15" ht="13.5" x14ac:dyDescent="0.25">
      <c r="A33" s="27">
        <v>2024</v>
      </c>
      <c r="B33" s="17">
        <f>(VLOOKUP(M$32,'Composite Returns'!$A$5:$K167,11,0)/VLOOKUP(M$33,'Composite Returns'!$A$5:$K167,11,0))-1</f>
        <v>6.3250470964772543E-2</v>
      </c>
      <c r="C33" s="17">
        <f>(VLOOKUP(M$32,'Composite Returns'!$A$171:$K313,11,0)/VLOOKUP(M$33,'Composite Returns'!$A$171:$K313,11,0))-1</f>
        <v>8.1255971722921982E-2</v>
      </c>
      <c r="D33" s="17">
        <f>(VLOOKUP(M$32,'Composite Returns'!$A$317:$K447,11,0)/VLOOKUP(M$33,'Composite Returns'!$A$317:$K447,11,0))-1</f>
        <v>6.5327051356067534E-2</v>
      </c>
      <c r="E33" s="17">
        <f>(VLOOKUP(M$32,'Composite Returns'!$A$451:$K560,11,0)/VLOOKUP(M$33,'Composite Returns'!$A$451:$K560,11,0))-1</f>
        <v>8.0180164536784115E-2</v>
      </c>
      <c r="F33" s="17">
        <f>(VLOOKUP(M$32,'Composite Returns'!$A$5:$O167,15,0)/VLOOKUP(M$33,'Composite Returns'!$A$5:$O167,15,0))-1</f>
        <v>0.25047333560819185</v>
      </c>
      <c r="G33" s="17">
        <f>(VLOOKUP(M$32,'Composite Returns'!$A$5:$S167,19,0)/VLOOKUP(M$33,'Composite Returns'!$A$5:$S167,19,0))-1</f>
        <v>0.1529135510132289</v>
      </c>
      <c r="H33" s="17">
        <f>(VLOOKUP(M$32,'Composite Returns'!$A$171:$O313,15,0)/VLOOKUP(M$33,'Composite Returns'!$A$171:$O313,15,0))-1</f>
        <v>0.13945035747886769</v>
      </c>
      <c r="I33" s="17">
        <f>(VLOOKUP(M$32,'Composite Returns'!$A$317:$O447,15,0)/VLOOKUP(M$33,'Composite Returns'!$A$317:$O447,15,0))-1</f>
        <v>0.23815379382999624</v>
      </c>
      <c r="K33" s="26"/>
      <c r="M33" s="53">
        <v>45291</v>
      </c>
    </row>
    <row r="34" spans="1:15" ht="13.5" x14ac:dyDescent="0.25">
      <c r="A34" s="27">
        <v>2023</v>
      </c>
      <c r="B34" s="17">
        <f>(VLOOKUP(M$33,'Composite Returns'!$A$5:$K167,11,0)/VLOOKUP(M$34,'Composite Returns'!$A$5:$K167,11,0))-1</f>
        <v>4.2134503433555404E-2</v>
      </c>
      <c r="C34" s="17">
        <f>(VLOOKUP(M$33,'Composite Returns'!$A$171:$K313,11,0)/VLOOKUP(M$34,'Composite Returns'!$A$171:$K313,11,0))-1</f>
        <v>7.8745723315422955E-2</v>
      </c>
      <c r="D34" s="17">
        <f>(VLOOKUP(M$33,'Composite Returns'!$A$317:$K447,11,0)/VLOOKUP(M$34,'Composite Returns'!$A$317:$K447,11,0))-1</f>
        <v>5.1222114756708237E-2</v>
      </c>
      <c r="E34" s="17">
        <f>(VLOOKUP(M$33,'Composite Returns'!$A$451:$K560,11,0)/VLOOKUP(M$34,'Composite Returns'!$A$451:$K560,11,0))-1</f>
        <v>8.0760947834110697E-2</v>
      </c>
      <c r="F34" s="17">
        <f>(VLOOKUP(M$33,'Composite Returns'!$A$5:$O167,15,0)/VLOOKUP(M$34,'Composite Returns'!$A$5:$O167,15,0))-1</f>
        <v>0.26271305651151722</v>
      </c>
      <c r="G34" s="17">
        <f>(VLOOKUP(M$33,'Composite Returns'!$A$5:$S167,19,0)/VLOOKUP(M$34,'Composite Returns'!$A$5:$S167,19,0))-1</f>
        <v>3.9065471057388335E-2</v>
      </c>
      <c r="H34" s="17">
        <f>(VLOOKUP(M$33,'Composite Returns'!$A$171:$O313,15,0)/VLOOKUP(M$34,'Composite Returns'!$A$171:$O313,15,0))-1</f>
        <v>0.16450555239592513</v>
      </c>
      <c r="I34" s="17">
        <f>(VLOOKUP(M$33,'Composite Returns'!$A$317:$O447,15,0)/VLOOKUP(M$34,'Composite Returns'!$A$317:$O447,15,0))-1</f>
        <v>0.25974589113725721</v>
      </c>
      <c r="K34" s="26"/>
      <c r="M34" s="53">
        <v>44926</v>
      </c>
    </row>
    <row r="35" spans="1:15" ht="13.5" x14ac:dyDescent="0.25">
      <c r="A35" s="27">
        <v>2022</v>
      </c>
      <c r="B35" s="17">
        <f>(VLOOKUP(M$34,'Composite Returns'!$A$5:$K167,11,0)/VLOOKUP(M$35,'Composite Returns'!$A$5:$K167,11,0))-1</f>
        <v>1.80623247970364E-2</v>
      </c>
      <c r="C35" s="17">
        <f>(VLOOKUP(M$34,'Composite Returns'!$A$171:$K313,11,0)/VLOOKUP(M$35,'Composite Returns'!$A$171:$K313,11,0))-1</f>
        <v>-4.7408809530648299E-2</v>
      </c>
      <c r="D35" s="17">
        <f>(VLOOKUP(M$34,'Composite Returns'!$A$317:$K447,11,0)/VLOOKUP(M$35,'Composite Returns'!$A$317:$K447,11,0))-1</f>
        <v>-1.2399140470147341E-2</v>
      </c>
      <c r="E35" s="17">
        <f>(VLOOKUP(M$34,'Composite Returns'!$A$451:$K560,11,0)/VLOOKUP(M$35,'Composite Returns'!$A$451:$K560,11,0))-1</f>
        <v>-6.4008362776676986E-2</v>
      </c>
      <c r="F35" s="17">
        <f>(VLOOKUP(M$34,'Composite Returns'!$A$5:$O167,15,0)/VLOOKUP(M$35,'Composite Returns'!$A$5:$O167,15,0))-1</f>
        <v>-0.18100973264807441</v>
      </c>
      <c r="G35" s="17">
        <f>(VLOOKUP(M$34,'Composite Returns'!$A$5:$S167,19,0)/VLOOKUP(M$35,'Composite Returns'!$A$5:$S167,19,0))-1</f>
        <v>-1.1068908714881864E-2</v>
      </c>
      <c r="H35" s="17">
        <f>(VLOOKUP(M$34,'Composite Returns'!$A$171:$O313,15,0)/VLOOKUP(M$35,'Composite Returns'!$A$171:$O313,15,0))-1</f>
        <v>-0.13061301243341494</v>
      </c>
      <c r="I35" s="17">
        <f>(VLOOKUP(M$34,'Composite Returns'!$A$317:$O447,15,0)/VLOOKUP(M$35,'Composite Returns'!$A$317:$O447,15,0))-1</f>
        <v>-0.19196595015761431</v>
      </c>
      <c r="K35" s="26"/>
      <c r="M35" s="53">
        <v>44561</v>
      </c>
    </row>
    <row r="36" spans="1:15" ht="13.5" x14ac:dyDescent="0.25">
      <c r="A36" s="27">
        <v>2021</v>
      </c>
      <c r="B36" s="17">
        <f>(VLOOKUP(M$35,'Composite Returns'!$A$5:$K167,11,0)/VLOOKUP(M$36,'Composite Returns'!$A$5:$K167,11,0))-1</f>
        <v>0.19521028775090965</v>
      </c>
      <c r="C36" s="17">
        <f>(VLOOKUP(M$35,'Composite Returns'!$A$171:$K313,11,0)/VLOOKUP(M$36,'Composite Returns'!$A$171:$K313,11,0))-1</f>
        <v>0.25371399581067555</v>
      </c>
      <c r="D36" s="17">
        <f>(VLOOKUP(M$35,'Composite Returns'!$A$317:$K447,11,0)/VLOOKUP(M$36,'Composite Returns'!$A$317:$K447,11,0))-1</f>
        <v>0.22438591150713783</v>
      </c>
      <c r="E36" s="17">
        <f>(VLOOKUP(M$35,'Composite Returns'!$A$451:$K560,11,0)/VLOOKUP(M$36,'Composite Returns'!$A$451:$K560,11,0))-1</f>
        <v>0.2384832994931072</v>
      </c>
      <c r="F36" s="17">
        <f>(VLOOKUP(M$35,'Composite Returns'!$A$5:$O167,15,0)/VLOOKUP(M$36,'Composite Returns'!$A$5:$O167,15,0))-1</f>
        <v>0.28721370055108442</v>
      </c>
      <c r="G36" s="17">
        <f>(VLOOKUP(M$35,'Composite Returns'!$A$5:$S167,19,0)/VLOOKUP(M$36,'Composite Returns'!$A$5:$S167,19,0))-1</f>
        <v>0.32853143515729788</v>
      </c>
      <c r="H36" s="17">
        <f>(VLOOKUP(M$35,'Composite Returns'!$A$171:$O313,15,0)/VLOOKUP(M$36,'Composite Returns'!$A$171:$O313,15,0))-1</f>
        <v>0.24772195136801778</v>
      </c>
      <c r="I36" s="17">
        <f>(VLOOKUP(M$35,'Composite Returns'!$A$317:$O447,15,0)/VLOOKUP(M$36,'Composite Returns'!$A$317:$O447,15,0))-1</f>
        <v>0.25640624953238622</v>
      </c>
      <c r="K36" s="26"/>
      <c r="M36" s="53">
        <v>44196</v>
      </c>
    </row>
    <row r="37" spans="1:15" ht="13.5" x14ac:dyDescent="0.25">
      <c r="A37" s="27">
        <v>2020</v>
      </c>
      <c r="B37" s="17">
        <f>(VLOOKUP(M$36,'Composite Returns'!$A$5:$K167,11,0)/VLOOKUP(M$37,'Composite Returns'!$A$5:$K167,11,0))-1</f>
        <v>3.2004648357835785E-2</v>
      </c>
      <c r="C37" s="17">
        <f>(VLOOKUP(M$36,'Composite Returns'!$A$171:$K313,11,0)/VLOOKUP(M$37,'Composite Returns'!$A$171:$K313,11,0))-1</f>
        <v>3.6775440037801088E-2</v>
      </c>
      <c r="D37" s="17">
        <f>(VLOOKUP(M$36,'Composite Returns'!$A$317:$K447,11,0)/VLOOKUP(M$37,'Composite Returns'!$A$317:$K447,11,0))-1</f>
        <v>6.8617832047254801E-2</v>
      </c>
      <c r="E37" s="17">
        <f>(VLOOKUP(M$36,'Composite Returns'!$A$451:$K560,11,0)/VLOOKUP(M$37,'Composite Returns'!$A$451:$K560,11,0))-1</f>
        <v>8.5093725813859322E-2</v>
      </c>
      <c r="F37" s="17">
        <f>(VLOOKUP(M$36,'Composite Returns'!$A$5:$O167,15,0)/VLOOKUP(M$37,'Composite Returns'!$A$5:$O167,15,0))-1</f>
        <v>0.18402027688815403</v>
      </c>
      <c r="G37" s="17">
        <f>(VLOOKUP(M$36,'Composite Returns'!$A$5:$S167,19,0)/VLOOKUP(M$37,'Composite Returns'!$A$5:$S167,19,0))-1</f>
        <v>-0.11587480030469588</v>
      </c>
      <c r="H37" s="17">
        <f>(VLOOKUP(M$36,'Composite Returns'!$A$171:$O313,15,0)/VLOOKUP(M$37,'Composite Returns'!$A$171:$O313,15,0))-1</f>
        <v>0.13642569908100355</v>
      </c>
      <c r="I37" s="17">
        <f>(VLOOKUP(M$36,'Composite Returns'!$A$317:$O447,15,0)/VLOOKUP(M$37,'Composite Returns'!$A$317:$O447,15,0))-1</f>
        <v>0.20891652859269616</v>
      </c>
      <c r="K37" s="26"/>
      <c r="M37" s="53">
        <v>43830</v>
      </c>
    </row>
    <row r="38" spans="1:15" ht="13.5" x14ac:dyDescent="0.25">
      <c r="A38" s="27">
        <v>2019</v>
      </c>
      <c r="B38" s="17">
        <f>(VLOOKUP(M$37,'Composite Returns'!$A$5:$K167,11,0)/VLOOKUP(M$38,'Composite Returns'!$A$5:$K167,11,0))-1</f>
        <v>0.24388607749642865</v>
      </c>
      <c r="C38" s="17">
        <f>(VLOOKUP(M$37,'Composite Returns'!$A$171:$K313,11,0)/VLOOKUP(M$38,'Composite Returns'!$A$171:$K313,11,0))-1</f>
        <v>0.17277636196706614</v>
      </c>
      <c r="D38" s="17">
        <f>(VLOOKUP(M$37,'Composite Returns'!$A$317:$K447,11,0)/VLOOKUP(M$38,'Composite Returns'!$A$317:$K447,11,0))-1</f>
        <v>0.23129384433455513</v>
      </c>
      <c r="E38" s="17">
        <f>(VLOOKUP(M$37,'Composite Returns'!$A$451:$K560,11,0)/VLOOKUP(M$38,'Composite Returns'!$A$451:$K560,11,0))-1</f>
        <v>0.25549984599065279</v>
      </c>
      <c r="F38" s="17">
        <f>(VLOOKUP(M$37,'Composite Returns'!$A$5:$O167,15,0)/VLOOKUP(M$38,'Composite Returns'!$A$5:$O167,15,0))-1</f>
        <v>0.31503180216616755</v>
      </c>
      <c r="G38" s="17">
        <f>(VLOOKUP(M$37,'Composite Returns'!$A$5:$S167,19,0)/VLOOKUP(M$38,'Composite Returns'!$A$5:$S167,19,0))-1</f>
        <v>0.21488501946704286</v>
      </c>
      <c r="H38" s="17">
        <f>(VLOOKUP(M$37,'Composite Returns'!$A$171:$O313,15,0)/VLOOKUP(M$38,'Composite Returns'!$A$171:$O313,15,0))-1</f>
        <v>0.26207065725783418</v>
      </c>
      <c r="I38" s="17">
        <f>(VLOOKUP(M$37,'Composite Returns'!$A$317:$O447,15,0)/VLOOKUP(M$38,'Composite Returns'!$A$317:$O447,15,0))-1</f>
        <v>0.31019047188960003</v>
      </c>
      <c r="K38" s="26"/>
      <c r="M38" s="53">
        <v>43465</v>
      </c>
    </row>
    <row r="39" spans="1:15" ht="13.5" x14ac:dyDescent="0.25">
      <c r="A39" s="27">
        <v>2018</v>
      </c>
      <c r="B39" s="17">
        <f>(VLOOKUP(M$38,'Composite Returns'!$A$5:$K167,11,0)/VLOOKUP(M$39,'Composite Returns'!$A$5:$K167,11,0))-1</f>
        <v>4.9030845422872726E-3</v>
      </c>
      <c r="C39" s="17">
        <f>(VLOOKUP(M$38,'Composite Returns'!$A$171:$K313,11,0)/VLOOKUP(M$39,'Composite Returns'!$A$171:$K313,11,0))-1</f>
        <v>-5.5655384871428182E-2</v>
      </c>
      <c r="D39" s="17">
        <f>(VLOOKUP(M$38,'Composite Returns'!$A$317:$K447,11,0)/VLOOKUP(M$39,'Composite Returns'!$A$317:$K447,11,0))-1</f>
        <v>8.3228383182833987E-3</v>
      </c>
      <c r="E39" s="17">
        <f>(VLOOKUP(M$38,'Composite Returns'!$A$451:$K560,11,0)/VLOOKUP(M$39,'Composite Returns'!$A$451:$K560,11,0))-1</f>
        <v>-2.1705108084383196E-2</v>
      </c>
      <c r="F39" s="17">
        <f>(VLOOKUP(M$38,'Composite Returns'!$A$5:$O167,15,0)/VLOOKUP(M$39,'Composite Returns'!$A$5:$O167,15,0))-1</f>
        <v>-4.3838845079790301E-2</v>
      </c>
      <c r="G39" s="17">
        <f>(VLOOKUP(M$38,'Composite Returns'!$A$5:$S167,19,0)/VLOOKUP(M$39,'Composite Returns'!$A$5:$S167,19,0))-1</f>
        <v>-4.75420370644698E-2</v>
      </c>
      <c r="H39" s="17">
        <f>(VLOOKUP(M$38,'Composite Returns'!$A$171:$O313,15,0)/VLOOKUP(M$39,'Composite Returns'!$A$171:$O313,15,0))-1</f>
        <v>-0.11103592454847078</v>
      </c>
      <c r="I39" s="17">
        <f>(VLOOKUP(M$38,'Composite Returns'!$A$317:$O447,15,0)/VLOOKUP(M$39,'Composite Returns'!$A$317:$O447,15,0))-1</f>
        <v>-5.245464691924584E-2</v>
      </c>
      <c r="K39" s="26"/>
      <c r="M39" s="53">
        <v>43100</v>
      </c>
      <c r="N39" s="53">
        <v>43008</v>
      </c>
      <c r="O39" s="54"/>
    </row>
    <row r="40" spans="1:15" ht="13.5" x14ac:dyDescent="0.25">
      <c r="A40" s="27">
        <v>2017</v>
      </c>
      <c r="B40" s="17">
        <f>(VLOOKUP(M$39,'Composite Returns'!$A$5:$K167,11,0)/VLOOKUP(M$40,'Composite Returns'!$A$5:$K167,11,0))-1</f>
        <v>0.1695776799942621</v>
      </c>
      <c r="C40" s="17">
        <f>(VLOOKUP(M$39,'Composite Returns'!$A$171:$K313,11,0)/VLOOKUP(M$40,'Composite Returns'!$A$171:$K313,11,0))-1</f>
        <v>0.14498798332024987</v>
      </c>
      <c r="D40" s="17">
        <f>(VLOOKUP(M$39,'Composite Returns'!$A$317:$K447,11,0)/VLOOKUP(M$40,'Composite Returns'!$A$317:$K447,11,0))-1</f>
        <v>0.1699025339043565</v>
      </c>
      <c r="E40" s="55">
        <f>(VLOOKUP(M$39,'Composite Returns'!$A$451:$K560,11,0)/VLOOKUP(N$39,'Composite Returns'!$A$451:$K560,11,0))-1</f>
        <v>6.186139593599993E-2</v>
      </c>
      <c r="F40" s="17">
        <f>(VLOOKUP(M$39,'Composite Returns'!$A$5:$O167,15,0)/VLOOKUP(M$40,'Composite Returns'!$A$5:$O167,15,0))-1</f>
        <v>0.21843744306813351</v>
      </c>
      <c r="G40" s="17">
        <f>(VLOOKUP(M$39,'Composite Returns'!$A$5:$S167,19,0)/VLOOKUP(M$40,'Composite Returns'!$A$5:$S167,19,0))-1</f>
        <v>0.12760393446491269</v>
      </c>
      <c r="H40" s="17">
        <f>(VLOOKUP(M$39,'Composite Returns'!$A$171:$O313,15,0)/VLOOKUP(M$40,'Composite Returns'!$A$171:$O313,15,0))-1</f>
        <v>0.16243441762741151</v>
      </c>
      <c r="I40" s="17">
        <f>(VLOOKUP(M$39,'Composite Returns'!$A$317:$O447,15,0)/VLOOKUP(M$40,'Composite Returns'!$A$317:$O447,15,0))-1</f>
        <v>0.21130022886091848</v>
      </c>
      <c r="K40" s="26"/>
      <c r="M40" s="53">
        <v>42735</v>
      </c>
    </row>
    <row r="41" spans="1:15" ht="13.5" x14ac:dyDescent="0.25">
      <c r="A41" s="27">
        <v>2016</v>
      </c>
      <c r="B41" s="17">
        <f>(VLOOKUP(M$40,'Composite Returns'!$A$5:$K167,11,0)/VLOOKUP(M$41,'Composite Returns'!$A$5:$K167,11,0))-1</f>
        <v>0.10542536048200613</v>
      </c>
      <c r="C41" s="17">
        <f>(VLOOKUP(M$40,'Composite Returns'!$A$171:$K313,11,0)/VLOOKUP(M$41,'Composite Returns'!$A$171:$K313,11,0))-1</f>
        <v>0.24275376178702901</v>
      </c>
      <c r="D41" s="17">
        <f>(VLOOKUP(M$40,'Composite Returns'!$A$317:$K447,11,0)/VLOOKUP(M$41,'Composite Returns'!$A$317:$K447,11,0))-1</f>
        <v>0.15752349000408139</v>
      </c>
      <c r="E41" s="17"/>
      <c r="F41" s="17">
        <f>(VLOOKUP(M$40,'Composite Returns'!$A$5:$O167,15,0)/VLOOKUP(M$41,'Composite Returns'!$A$5:$O167,15,0))-1</f>
        <v>0.11981280695934693</v>
      </c>
      <c r="G41" s="17">
        <f>(VLOOKUP(M$40,'Composite Returns'!$A$5:$S167,19,0)/VLOOKUP(M$41,'Composite Returns'!$A$5:$S167,19,0))-1</f>
        <v>0.24980455712962546</v>
      </c>
      <c r="H41" s="17">
        <f>(VLOOKUP(M$40,'Composite Returns'!$A$171:$O313,15,0)/VLOOKUP(M$41,'Composite Returns'!$A$171:$O313,15,0))-1</f>
        <v>0.20739041787464285</v>
      </c>
      <c r="I41" s="17">
        <f>(VLOOKUP(M$40,'Composite Returns'!$A$317:$O447,15,0)/VLOOKUP(M$41,'Composite Returns'!$A$317:$O447,15,0))-1</f>
        <v>0.12742127057556107</v>
      </c>
      <c r="K41" s="26"/>
      <c r="M41" s="53">
        <v>42369</v>
      </c>
    </row>
    <row r="42" spans="1:15" ht="13.5" x14ac:dyDescent="0.25">
      <c r="A42" s="27">
        <v>2015</v>
      </c>
      <c r="B42" s="17">
        <f>(VLOOKUP(M$41,'Composite Returns'!$A$5:$K167,11,0)/VLOOKUP(M$42,'Composite Returns'!$A$5:$K167,11,0))-1</f>
        <v>-1.855445166296843E-2</v>
      </c>
      <c r="C42" s="17">
        <f>(VLOOKUP(M$41,'Composite Returns'!$A$171:$K313,11,0)/VLOOKUP(M$42,'Composite Returns'!$A$171:$K313,11,0))-1</f>
        <v>1.02274838785954E-3</v>
      </c>
      <c r="D42" s="17"/>
      <c r="E42" s="17"/>
      <c r="F42" s="17">
        <f>(VLOOKUP(M$41,'Composite Returns'!$A$5:$O167,15,0)/VLOOKUP(M$42,'Composite Returns'!$A$5:$O167,15,0))-1</f>
        <v>1.3976127833359886E-2</v>
      </c>
      <c r="G42" s="17">
        <f>(VLOOKUP(M$41,'Composite Returns'!$A$5:$S167,19,0)/VLOOKUP(M$42,'Composite Returns'!$A$5:$S167,19,0))-1</f>
        <v>-2.3962706284438084E-2</v>
      </c>
      <c r="H42" s="17">
        <f>(VLOOKUP(M$41,'Composite Returns'!$A$171:$O313,15,0)/VLOOKUP(M$42,'Composite Returns'!$A$171:$O313,15,0))-1</f>
        <v>-2.179333084224977E-2</v>
      </c>
      <c r="I42" s="17"/>
      <c r="K42" s="26"/>
      <c r="M42" s="53">
        <v>42004</v>
      </c>
    </row>
    <row r="43" spans="1:15" ht="13.5" x14ac:dyDescent="0.25">
      <c r="A43" s="27">
        <v>2014</v>
      </c>
      <c r="B43" s="17">
        <f>(VLOOKUP(M$42,'Composite Returns'!$A$5:$K167,11,0)/VLOOKUP(M$43,'Composite Returns'!$A$5:$K167,11,0))-1</f>
        <v>9.1439946298610408E-2</v>
      </c>
      <c r="C43" s="17"/>
      <c r="D43" s="17"/>
      <c r="E43" s="17"/>
      <c r="F43" s="17">
        <f>(VLOOKUP(M$42,'Composite Returns'!$A$5:$O167,15,0)/VLOOKUP(M$43,'Composite Returns'!$A$5:$O167,15,0))-1</f>
        <v>0.13689211043322391</v>
      </c>
      <c r="G43" s="17">
        <f>(VLOOKUP(M$42,'Composite Returns'!$A$5:$S167,19,0)/VLOOKUP(M$43,'Composite Returns'!$A$5:$S167,19,0))-1</f>
        <v>0.22172350364634186</v>
      </c>
      <c r="H43" s="17"/>
      <c r="I43" s="17"/>
      <c r="K43" s="26"/>
      <c r="M43" s="53">
        <v>41639</v>
      </c>
    </row>
    <row r="44" spans="1:15" ht="13.5" x14ac:dyDescent="0.25">
      <c r="A44" s="27">
        <v>2013</v>
      </c>
      <c r="B44" s="17">
        <f>(VLOOKUP(M$43,'Composite Returns'!$A$5:$K167,11,0)/VLOOKUP(M$44,'Composite Returns'!$A$5:$K167,11,0))-1</f>
        <v>0.21095095267397701</v>
      </c>
      <c r="C44" s="17"/>
      <c r="D44" s="17"/>
      <c r="E44" s="17"/>
      <c r="F44" s="17">
        <f>(VLOOKUP(M$43,'Composite Returns'!$A$5:$O167,15,0)/VLOOKUP(M$44,'Composite Returns'!$A$5:$O167,15,0))-1</f>
        <v>0.32383661533157237</v>
      </c>
      <c r="G44" s="17">
        <f>(VLOOKUP(M$43,'Composite Returns'!$A$5:$S167,19,0)/VLOOKUP(M$44,'Composite Returns'!$A$5:$S167,19,0))-1</f>
        <v>0.28066969293760002</v>
      </c>
      <c r="H44" s="17"/>
      <c r="I44" s="17"/>
      <c r="K44" s="26"/>
      <c r="M44" s="53">
        <v>41274</v>
      </c>
    </row>
    <row r="45" spans="1:15" ht="13.5" x14ac:dyDescent="0.25">
      <c r="A45" s="27">
        <v>2012</v>
      </c>
      <c r="B45" s="17">
        <f>(VLOOKUP(M$44,'Composite Returns'!$A$5:$K167,11,0)/VLOOKUP(M$45,'Composite Returns'!$A$5:$K167,11,0))-1</f>
        <v>8.7174237446560277E-2</v>
      </c>
      <c r="C45" s="17"/>
      <c r="D45" s="17"/>
      <c r="E45" s="17"/>
      <c r="F45" s="17">
        <f>(VLOOKUP(M$44,'Composite Returns'!$A$5:$O167,15,0)/VLOOKUP(M$45,'Composite Returns'!$A$5:$O167,15,0))-1</f>
        <v>0.15993829283734984</v>
      </c>
      <c r="G45" s="17">
        <f>(VLOOKUP(M$44,'Composite Returns'!$A$5:$S167,19,0)/VLOOKUP(M$45,'Composite Returns'!$A$5:$S167,19,0))-1</f>
        <v>0.10281889052470428</v>
      </c>
      <c r="H45" s="17"/>
      <c r="I45" s="17"/>
      <c r="K45" s="26"/>
      <c r="M45" s="53">
        <v>40908</v>
      </c>
    </row>
    <row r="46" spans="1:15" ht="13.5" x14ac:dyDescent="0.25">
      <c r="A46" s="27">
        <v>2011</v>
      </c>
      <c r="B46" s="17">
        <f>(VLOOKUP(M$45,'Composite Returns'!$A$5:$K167,11,0)/VLOOKUP(M$46,'Composite Returns'!$A$5:$K167,11,0))-1</f>
        <v>0.11529011465747607</v>
      </c>
      <c r="C46" s="17"/>
      <c r="D46" s="17"/>
      <c r="E46" s="17"/>
      <c r="F46" s="17">
        <f>(VLOOKUP(M$45,'Composite Returns'!$A$5:$O167,15,0)/VLOOKUP(M$46,'Composite Returns'!$A$5:$O167,15,0))-1</f>
        <v>2.0862606703939468E-2</v>
      </c>
      <c r="G46" s="17">
        <f>(VLOOKUP(M$45,'Composite Returns'!$A$5:$S167,19,0)/VLOOKUP(M$46,'Composite Returns'!$A$5:$S167,19,0))-1</f>
        <v>0.12394318479228805</v>
      </c>
      <c r="H46" s="17"/>
      <c r="I46" s="17"/>
      <c r="K46" s="26"/>
      <c r="M46" s="53">
        <v>40543</v>
      </c>
      <c r="N46" s="53">
        <v>40359</v>
      </c>
      <c r="O46" s="54"/>
    </row>
    <row r="47" spans="1:15" ht="13.5" x14ac:dyDescent="0.25">
      <c r="A47" s="27">
        <v>2010</v>
      </c>
      <c r="B47" s="55">
        <f>(VLOOKUP(M$46,'Composite Returns'!$A$5:$K167,11,0)/VLOOKUP(N$46,'Composite Returns'!$A$5:$K167,11,0))-1</f>
        <v>0.1896403716970001</v>
      </c>
      <c r="C47" s="17"/>
      <c r="D47" s="17"/>
      <c r="E47" s="17"/>
      <c r="F47" s="55">
        <f>(VLOOKUP(M$46,'Composite Returns'!$A$5:$O167,15,0)/VLOOKUP(N$46,'Composite Returns'!$A$5:$O167,15,0))-1</f>
        <v>0.23275879999999982</v>
      </c>
      <c r="G47" s="17">
        <f>(VLOOKUP(M$46,'Composite Returns'!$A$5:$S167,19,0)/VLOOKUP(N$46,'Composite Returns'!$A$5:$S167,19,0))-1</f>
        <v>0.2011069999999997</v>
      </c>
      <c r="H47" s="17"/>
      <c r="I47" s="17"/>
    </row>
    <row r="48" spans="1:15" ht="13.5" customHeight="1" x14ac:dyDescent="0.2">
      <c r="K48" s="28"/>
    </row>
    <row r="49" spans="1:9" ht="36.75" customHeight="1" x14ac:dyDescent="0.2">
      <c r="A49" s="59" t="s">
        <v>40</v>
      </c>
      <c r="B49" s="59"/>
      <c r="C49" s="59"/>
      <c r="D49" s="59"/>
      <c r="E49" s="59"/>
      <c r="F49" s="59"/>
      <c r="G49" s="59"/>
      <c r="H49" s="59"/>
      <c r="I49" s="59"/>
    </row>
  </sheetData>
  <mergeCells count="4">
    <mergeCell ref="A1:K1"/>
    <mergeCell ref="A22:K22"/>
    <mergeCell ref="A30:K30"/>
    <mergeCell ref="A49:I49"/>
  </mergeCells>
  <phoneticPr fontId="2" type="noConversion"/>
  <printOptions horizontalCentered="1"/>
  <pageMargins left="0.75" right="0.75" top="1.25" bottom="1" header="0.5" footer="0.5"/>
  <pageSetup scale="81" fitToHeight="2" orientation="landscape" r:id="rId1"/>
  <headerFooter alignWithMargins="0">
    <oddHeader>&amp;L&amp;G</oddHeader>
    <oddFooter>&amp;C&amp;"Avenir LT 45 Book,Regular"&amp;8&amp;Z&amp;F&amp;R&amp;"Avenir LT 45 Book,Regular"&amp;8&amp;D</oddFooter>
  </headerFooter>
  <rowBreaks count="1" manualBreakCount="1">
    <brk id="27" max="10"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D46D8-445A-486D-AE61-FABB5A97F9C7}">
  <sheetPr codeName="Sheet3"/>
  <dimension ref="A1:N52"/>
  <sheetViews>
    <sheetView workbookViewId="0"/>
  </sheetViews>
  <sheetFormatPr defaultRowHeight="13.5" x14ac:dyDescent="0.25"/>
  <cols>
    <col min="1" max="1" width="12.85546875" style="1" customWidth="1"/>
    <col min="2" max="2" width="17.85546875" style="1" bestFit="1" customWidth="1"/>
    <col min="3" max="3" width="8.5703125" style="1" bestFit="1" customWidth="1"/>
    <col min="4" max="4" width="9.42578125" style="1" customWidth="1"/>
    <col min="5" max="6" width="10.42578125" style="1" customWidth="1"/>
    <col min="7" max="13" width="9.42578125" style="1" customWidth="1"/>
    <col min="14" max="14" width="12.28515625" style="1" customWidth="1"/>
    <col min="15" max="16384" width="9.140625" style="1"/>
  </cols>
  <sheetData>
    <row r="1" spans="1:7" x14ac:dyDescent="0.25">
      <c r="B1" s="1" t="s">
        <v>28</v>
      </c>
      <c r="D1" s="1" t="s">
        <v>27</v>
      </c>
      <c r="F1" s="1" t="s">
        <v>15</v>
      </c>
    </row>
    <row r="2" spans="1:7" x14ac:dyDescent="0.25">
      <c r="A2" s="1">
        <v>2010</v>
      </c>
      <c r="B2" s="21">
        <f>(1+'Composite Returns'!E6)*(1+'Composite Returns'!E7)-1</f>
        <v>0.18077721932000013</v>
      </c>
      <c r="D2" s="21">
        <f>(1+'Composite Returns'!I6)*(1+'Composite Returns'!I7)-1</f>
        <v>0.1896403716970001</v>
      </c>
      <c r="F2" s="21">
        <f>(1+'Composite Returns'!M6)*(1+'Composite Returns'!M7)-1</f>
        <v>0.23275879999999982</v>
      </c>
      <c r="G2" s="21"/>
    </row>
    <row r="3" spans="1:7" x14ac:dyDescent="0.25">
      <c r="A3" s="1">
        <v>2011</v>
      </c>
      <c r="B3" s="21">
        <f>(1+'Composite Returns'!E8)*(1+'Composite Returns'!E9)*(1+'Composite Returns'!E10)*(1+'Composite Returns'!E11)-1</f>
        <v>0.10177897826557736</v>
      </c>
      <c r="C3" s="21"/>
      <c r="D3" s="21">
        <f>(1+'Composite Returns'!I8)*(1+'Composite Returns'!I9)*(1+'Composite Returns'!I10)*(1+'Composite Returns'!I11)-1</f>
        <v>0.11529011465747607</v>
      </c>
      <c r="E3" s="21"/>
      <c r="F3" s="21">
        <f>(1+'Composite Returns'!M8)*(1+'Composite Returns'!M9)*(1+'Composite Returns'!M10)*(1+'Composite Returns'!M11)-1</f>
        <v>2.086260670393969E-2</v>
      </c>
    </row>
    <row r="4" spans="1:7" x14ac:dyDescent="0.25">
      <c r="A4" s="1">
        <v>2012</v>
      </c>
      <c r="B4" s="21">
        <f>(1+'Composite Returns'!E12)*(1+'Composite Returns'!E13)*(1+'Composite Returns'!E14)*(1+'Composite Returns'!E15)-1</f>
        <v>7.5546796210369971E-2</v>
      </c>
      <c r="C4" s="21"/>
      <c r="D4" s="21">
        <f>(1+'Composite Returns'!I12)*(1+'Composite Returns'!I13)*(1+'Composite Returns'!I14)*(1+'Composite Returns'!I15)-1</f>
        <v>8.7174237446560277E-2</v>
      </c>
      <c r="E4" s="21"/>
      <c r="F4" s="21">
        <f>(1+'Composite Returns'!M12)*(1+'Composite Returns'!M13)*(1+'Composite Returns'!M14)*(1+'Composite Returns'!M15)-1</f>
        <v>0.15993829283734984</v>
      </c>
    </row>
    <row r="5" spans="1:7" x14ac:dyDescent="0.25">
      <c r="A5" s="1">
        <v>2013</v>
      </c>
      <c r="B5" s="21">
        <f>(1+'Composite Returns'!E16)*(1+'Composite Returns'!E17)*(1+'Composite Returns'!E18)*(1+'Composite Returns'!E19)-1</f>
        <v>0.19866082034325738</v>
      </c>
      <c r="C5" s="21"/>
      <c r="D5" s="21">
        <f>(1+'Composite Returns'!I16)*(1+'Composite Returns'!I17)*(1+'Composite Returns'!I18)*(1+'Composite Returns'!I19)-1</f>
        <v>0.21095095267397679</v>
      </c>
      <c r="E5" s="21"/>
      <c r="F5" s="21">
        <f>(1+'Composite Returns'!M16)*(1+'Composite Returns'!M17)*(1+'Composite Returns'!M18)*(1+'Composite Returns'!M19)-1</f>
        <v>0.32383661533157237</v>
      </c>
    </row>
    <row r="6" spans="1:7" x14ac:dyDescent="0.25">
      <c r="A6" s="1">
        <v>2014</v>
      </c>
      <c r="B6" s="21">
        <f>(1+'Composite Returns'!E20)*(1+'Composite Returns'!E21)*(1+'Composite Returns'!E22)*(1+'Composite Returns'!E23)*(1+'Composite Returns'!E24)*(1+'Composite Returns'!E25)-1</f>
        <v>8.0173070433105398E-2</v>
      </c>
      <c r="C6" s="21"/>
      <c r="D6" s="21">
        <f>(1+'Composite Returns'!I20)*(1+'Composite Returns'!I21)*(1+'Composite Returns'!I22)*(1+'Composite Returns'!I23)*(1+'Composite Returns'!I24)*(1+'Composite Returns'!I25)-1</f>
        <v>9.1439946298610408E-2</v>
      </c>
      <c r="E6" s="21"/>
      <c r="F6" s="21">
        <f>(1+'Composite Returns'!M20)*(1+'Composite Returns'!M21)*(1+'Composite Returns'!M22)*(1+'Composite Returns'!M23)*(1+'Composite Returns'!M24)*(1+'Composite Returns'!M25)-1</f>
        <v>0.13689211043322325</v>
      </c>
    </row>
    <row r="7" spans="1:7" x14ac:dyDescent="0.25">
      <c r="A7" s="1">
        <v>2015</v>
      </c>
      <c r="B7" s="21">
        <f>(1+'Composite Returns'!E26)*(1+'Composite Returns'!E27)*(1+'Composite Returns'!E28)*(1+'Composite Returns'!E29)*(1+'Composite Returns'!E30)*(1+'Composite Returns'!E31)*(1+'Composite Returns'!E32)*(1+'Composite Returns'!E33)*(1+'Composite Returns'!E34)*(1+'Composite Returns'!E35)*(1+'Composite Returns'!E36)*(1+'Composite Returns'!E37)-1</f>
        <v>-2.8282901568806196E-2</v>
      </c>
      <c r="C7" s="21"/>
      <c r="D7" s="21">
        <f>(1+'Composite Returns'!I26)*(1+'Composite Returns'!I27)*(1+'Composite Returns'!I28)*(1+'Composite Returns'!I29)*(1+'Composite Returns'!I30)*(1+'Composite Returns'!I31)*(1+'Composite Returns'!I32)*(1+'Composite Returns'!I33)*(1+'Composite Returns'!I34)*(1+'Composite Returns'!I35)*(1+'Composite Returns'!I36)*(1+'Composite Returns'!I37)-1</f>
        <v>-1.855445166296843E-2</v>
      </c>
      <c r="E7" s="21"/>
      <c r="F7" s="21">
        <f>(1+'Composite Returns'!M26)*(1+'Composite Returns'!M27)*(1+'Composite Returns'!M28)*(1+'Composite Returns'!M29)*(1+'Composite Returns'!M30)*(1+'Composite Returns'!M31)*(1+'Composite Returns'!M32)*(1+'Composite Returns'!M33)*(1+'Composite Returns'!M34)*(1+'Composite Returns'!M35)*(1+'Composite Returns'!M36)*(1+'Composite Returns'!M37)-1</f>
        <v>1.3976127833360108E-2</v>
      </c>
    </row>
    <row r="8" spans="1:7" x14ac:dyDescent="0.25">
      <c r="A8" s="1">
        <v>2016</v>
      </c>
      <c r="B8" s="21">
        <f>(1+'Composite Returns'!E38)*(1+'Composite Returns'!E39)*(1+'Composite Returns'!E40)*(1+'Composite Returns'!E41)*(1+'Composite Returns'!E42)*(1+'Composite Returns'!E43)*(1+'Composite Returns'!E44)*(1+'Composite Returns'!E45)*(1+'Composite Returns'!E46)*(1+'Composite Returns'!E47)*(1+'Composite Returns'!E48)*(1+'Composite Returns'!E49)-1</f>
        <v>9.4701947013011711E-2</v>
      </c>
      <c r="C8" s="21"/>
      <c r="D8" s="21">
        <f>(1+'Composite Returns'!I38)*(1+'Composite Returns'!I39)*(1+'Composite Returns'!I40)*(1+'Composite Returns'!I41)*(1+'Composite Returns'!I42)*(1+'Composite Returns'!I43)*(1+'Composite Returns'!I44)*(1+'Composite Returns'!I45)*(1+'Composite Returns'!I46)*(1+'Composite Returns'!I47)*(1+'Composite Returns'!I48)*(1+'Composite Returns'!I49)-1</f>
        <v>0.10542536048200635</v>
      </c>
      <c r="E8" s="21"/>
      <c r="F8" s="21">
        <f>(1+'Composite Returns'!M38)*(1+'Composite Returns'!M39)*(1+'Composite Returns'!M40)*(1+'Composite Returns'!M41)*(1+'Composite Returns'!M42)*(1+'Composite Returns'!M43)*(1+'Composite Returns'!M44)*(1+'Composite Returns'!M45)*(1+'Composite Returns'!M46)*(1+'Composite Returns'!M47)*(1+'Composite Returns'!M48)*(1+'Composite Returns'!M49)-1</f>
        <v>0.11981280695934715</v>
      </c>
    </row>
    <row r="9" spans="1:7" x14ac:dyDescent="0.25">
      <c r="B9" s="21"/>
      <c r="C9" s="21"/>
      <c r="D9" s="21"/>
      <c r="E9" s="21"/>
      <c r="F9" s="21"/>
    </row>
    <row r="12" spans="1:7" x14ac:dyDescent="0.25">
      <c r="B12" s="1" t="s">
        <v>30</v>
      </c>
      <c r="D12" s="1" t="s">
        <v>29</v>
      </c>
      <c r="F12" s="1" t="s">
        <v>31</v>
      </c>
    </row>
    <row r="13" spans="1:7" x14ac:dyDescent="0.25">
      <c r="A13" s="1">
        <v>2015</v>
      </c>
      <c r="B13" s="21">
        <f>'Composite Returns'!F183</f>
        <v>1.02274838785954E-3</v>
      </c>
      <c r="C13" s="21"/>
      <c r="D13" s="21">
        <f>'Composite Returns'!J183</f>
        <v>1.02274838785954E-3</v>
      </c>
      <c r="E13" s="21"/>
      <c r="F13" s="21">
        <f>'Composite Returns'!N183</f>
        <v>-2.1793330842249992E-2</v>
      </c>
    </row>
    <row r="14" spans="1:7" x14ac:dyDescent="0.25">
      <c r="A14" s="1">
        <v>2016</v>
      </c>
      <c r="B14" s="21">
        <f>(1+'Composite Returns'!E184)*(1+'Composite Returns'!E185)*(1+'Composite Returns'!E186)*(1+'Composite Returns'!E187)*(1+'Composite Returns'!E188)*(1+'Composite Returns'!E189)*(1+'Composite Returns'!E190)*(1+'Composite Returns'!E191)*(1+'Composite Returns'!E192)*(1+'Composite Returns'!E193)*(1+'Composite Returns'!E194)*(1+'Composite Returns'!E195)-1</f>
        <v>0.23598066531829631</v>
      </c>
      <c r="C14" s="21"/>
      <c r="D14" s="21">
        <f>(1+'Composite Returns'!I184)*(1+'Composite Returns'!I185)*(1+'Composite Returns'!I186)*(1+'Composite Returns'!I187)*(1+'Composite Returns'!I188)*(1+'Composite Returns'!I189)*(1+'Composite Returns'!I190)*(1+'Composite Returns'!I191)*(1+'Composite Returns'!I192)*(1+'Composite Returns'!I193)*(1+'Composite Returns'!I194)*(1+'Composite Returns'!I195)-1</f>
        <v>0.24275376178702901</v>
      </c>
      <c r="E14" s="21"/>
      <c r="F14" s="21">
        <f>(1+'Composite Returns'!M184)*(1+'Composite Returns'!M185)*(1+'Composite Returns'!M186)*(1+'Composite Returns'!M187)*(1+'Composite Returns'!M188)*(1+'Composite Returns'!M189)*(1+'Composite Returns'!M190)*(1+'Composite Returns'!M191)*(1+'Composite Returns'!M192)*(1+'Composite Returns'!M193)*(1+'Composite Returns'!M194)*(1+'Composite Returns'!M195)-1</f>
        <v>0.20739041787464285</v>
      </c>
    </row>
    <row r="19" spans="1:14" customFormat="1" ht="15" x14ac:dyDescent="0.25">
      <c r="A19" s="11" t="s">
        <v>9</v>
      </c>
      <c r="B19" s="1"/>
      <c r="C19" s="1"/>
      <c r="D19" s="1"/>
      <c r="E19" s="1"/>
      <c r="F19" s="1"/>
      <c r="G19" s="1"/>
      <c r="H19" s="1"/>
      <c r="I19" s="1"/>
      <c r="J19" s="1"/>
      <c r="K19" s="1"/>
      <c r="M19" s="1"/>
      <c r="N19" s="1"/>
    </row>
    <row r="20" spans="1:14" customFormat="1" ht="40.5" x14ac:dyDescent="0.25">
      <c r="A20" s="7" t="s">
        <v>0</v>
      </c>
      <c r="B20" s="7" t="s">
        <v>1</v>
      </c>
      <c r="C20" s="7" t="s">
        <v>2</v>
      </c>
      <c r="D20" s="7"/>
      <c r="E20" s="7" t="s">
        <v>3</v>
      </c>
      <c r="F20" s="7" t="s">
        <v>5</v>
      </c>
      <c r="G20" s="7"/>
      <c r="H20" s="7"/>
      <c r="I20" s="7" t="s">
        <v>6</v>
      </c>
      <c r="J20" s="7" t="s">
        <v>4</v>
      </c>
      <c r="K20" s="7"/>
      <c r="M20" s="7" t="s">
        <v>7</v>
      </c>
      <c r="N20" s="7" t="s">
        <v>8</v>
      </c>
    </row>
    <row r="21" spans="1:14" customFormat="1" x14ac:dyDescent="0.25">
      <c r="A21" s="2">
        <v>40451</v>
      </c>
      <c r="B21" s="51">
        <v>466441.46</v>
      </c>
      <c r="C21" s="6">
        <v>2</v>
      </c>
      <c r="D21" s="51"/>
      <c r="E21" s="4">
        <v>0.10390000000000001</v>
      </c>
      <c r="F21" s="20"/>
      <c r="G21" s="20"/>
      <c r="H21" s="20"/>
      <c r="I21" s="4">
        <v>0.10829999999999999</v>
      </c>
      <c r="J21" s="20"/>
      <c r="K21" s="20"/>
      <c r="M21" s="4">
        <v>0.113</v>
      </c>
      <c r="N21" s="20"/>
    </row>
    <row r="22" spans="1:14" customFormat="1" x14ac:dyDescent="0.25">
      <c r="A22" s="2">
        <v>40543</v>
      </c>
      <c r="B22" s="51">
        <v>732622.57</v>
      </c>
      <c r="C22" s="6">
        <v>4</v>
      </c>
      <c r="D22" s="51"/>
      <c r="E22" s="4">
        <v>8.3466369999999998E-2</v>
      </c>
      <c r="F22" s="4">
        <f>(E21+1)*(E22+1)-1</f>
        <v>0.19603852584300019</v>
      </c>
      <c r="G22" s="4"/>
      <c r="H22" s="4"/>
      <c r="I22" s="4">
        <v>8.9838879999999996E-2</v>
      </c>
      <c r="J22" s="4">
        <f>(I21+1)*(I22+1)-1</f>
        <v>0.20786843070400018</v>
      </c>
      <c r="K22" s="4"/>
      <c r="M22" s="4">
        <v>0.1076</v>
      </c>
      <c r="N22" s="4">
        <f>(M21+1)*(M22+1)-1</f>
        <v>0.23275879999999982</v>
      </c>
    </row>
    <row r="23" spans="1:14" customFormat="1" x14ac:dyDescent="0.25">
      <c r="A23" s="2">
        <v>40633</v>
      </c>
      <c r="B23" s="51">
        <v>764055.69</v>
      </c>
      <c r="C23" s="6">
        <v>4</v>
      </c>
      <c r="D23" s="51"/>
      <c r="E23" s="4">
        <v>4.8800000000000003E-2</v>
      </c>
      <c r="F23" s="4">
        <f t="shared" ref="F23:F52" si="0">(F22+1)*(E23+1)-1</f>
        <v>0.25440520590413862</v>
      </c>
      <c r="G23" s="4"/>
      <c r="H23" s="4"/>
      <c r="I23" s="4">
        <v>5.6072209999999997E-2</v>
      </c>
      <c r="J23" s="4">
        <f t="shared" ref="J23:J52" si="1">(J22+1)*(I23+1)-1</f>
        <v>0.27559628300280536</v>
      </c>
      <c r="K23" s="4"/>
      <c r="M23" s="4">
        <v>5.91E-2</v>
      </c>
      <c r="N23" s="4">
        <f t="shared" ref="N23:N49" si="2">(N22+1)*(M23+1)-1</f>
        <v>0.30561484507999981</v>
      </c>
    </row>
    <row r="24" spans="1:14" customFormat="1" x14ac:dyDescent="0.25">
      <c r="A24" s="2">
        <v>40724</v>
      </c>
      <c r="B24" s="51">
        <v>764133.56</v>
      </c>
      <c r="C24" s="6">
        <v>4</v>
      </c>
      <c r="D24" s="51"/>
      <c r="E24" s="4">
        <v>1E-4</v>
      </c>
      <c r="F24" s="4">
        <f t="shared" si="0"/>
        <v>0.254530646424729</v>
      </c>
      <c r="G24" s="4"/>
      <c r="H24" s="4"/>
      <c r="I24" s="4">
        <v>5.1048100000000004E-3</v>
      </c>
      <c r="J24" s="4">
        <f t="shared" si="1"/>
        <v>0.28210795966424085</v>
      </c>
      <c r="K24" s="4"/>
      <c r="M24" s="4">
        <v>1E-3</v>
      </c>
      <c r="N24" s="4">
        <f t="shared" si="2"/>
        <v>0.30692045992507966</v>
      </c>
    </row>
    <row r="25" spans="1:14" customFormat="1" x14ac:dyDescent="0.25">
      <c r="A25" s="2">
        <v>40816</v>
      </c>
      <c r="B25" s="51">
        <v>451324.36</v>
      </c>
      <c r="C25" s="6">
        <v>3</v>
      </c>
      <c r="D25" s="51"/>
      <c r="E25" s="4">
        <v>-0.13159999999999999</v>
      </c>
      <c r="F25" s="4">
        <f t="shared" si="0"/>
        <v>8.9434413355234721E-2</v>
      </c>
      <c r="G25" s="4"/>
      <c r="H25" s="4"/>
      <c r="I25" s="4">
        <v>-0.12457996</v>
      </c>
      <c r="J25" s="4">
        <f t="shared" si="1"/>
        <v>0.12238300133358804</v>
      </c>
      <c r="K25" s="4"/>
      <c r="M25" s="4">
        <v>-0.13869999999999999</v>
      </c>
      <c r="N25" s="4">
        <f t="shared" si="2"/>
        <v>0.12565059213347096</v>
      </c>
    </row>
    <row r="26" spans="1:14" customFormat="1" x14ac:dyDescent="0.25">
      <c r="A26" s="2">
        <v>40908</v>
      </c>
      <c r="B26" s="51">
        <v>351949.69</v>
      </c>
      <c r="C26" s="6">
        <v>2</v>
      </c>
      <c r="D26" s="51"/>
      <c r="E26" s="4">
        <v>9.2100000000000001E-2</v>
      </c>
      <c r="F26" s="4">
        <f t="shared" si="0"/>
        <v>0.189771322825252</v>
      </c>
      <c r="G26" s="4"/>
      <c r="H26" s="4"/>
      <c r="I26" s="4">
        <v>9.8557199999999998E-2</v>
      </c>
      <c r="J26" s="4">
        <f t="shared" si="1"/>
        <v>0.2330019272726227</v>
      </c>
      <c r="K26" s="4"/>
      <c r="M26" s="4">
        <v>0.11799999999999999</v>
      </c>
      <c r="N26" s="4">
        <f t="shared" si="2"/>
        <v>0.25847736200522031</v>
      </c>
    </row>
    <row r="27" spans="1:14" customFormat="1" x14ac:dyDescent="0.25">
      <c r="A27" s="2">
        <v>40999</v>
      </c>
      <c r="B27" s="51">
        <v>1168510.6299999999</v>
      </c>
      <c r="C27" s="6">
        <v>3</v>
      </c>
      <c r="D27" s="51"/>
      <c r="E27" s="4">
        <v>0.1012</v>
      </c>
      <c r="F27" s="4">
        <f t="shared" si="0"/>
        <v>0.3101761806951675</v>
      </c>
      <c r="G27" s="4"/>
      <c r="H27" s="4"/>
      <c r="I27" s="4">
        <v>0.10515393000000001</v>
      </c>
      <c r="J27" s="4">
        <f t="shared" si="1"/>
        <v>0.36265692562291307</v>
      </c>
      <c r="K27" s="4"/>
      <c r="M27" s="4">
        <v>0.1258</v>
      </c>
      <c r="N27" s="4">
        <f t="shared" si="2"/>
        <v>0.416793814145477</v>
      </c>
    </row>
    <row r="28" spans="1:14" customFormat="1" x14ac:dyDescent="0.25">
      <c r="A28" s="2">
        <v>41090</v>
      </c>
      <c r="B28" s="51">
        <v>1130118.3899999999</v>
      </c>
      <c r="C28" s="6">
        <v>3</v>
      </c>
      <c r="D28" s="51"/>
      <c r="E28" s="4">
        <v>-3.4299999999999997E-2</v>
      </c>
      <c r="F28" s="4">
        <f t="shared" si="0"/>
        <v>0.26523713769732327</v>
      </c>
      <c r="G28" s="4"/>
      <c r="H28" s="4"/>
      <c r="I28" s="4">
        <v>-3.1175109999999999E-2</v>
      </c>
      <c r="J28" s="4">
        <f t="shared" si="1"/>
        <v>0.32017594607435695</v>
      </c>
      <c r="K28" s="4"/>
      <c r="M28" s="4">
        <v>-2.75E-2</v>
      </c>
      <c r="N28" s="4">
        <f t="shared" si="2"/>
        <v>0.37783198425647635</v>
      </c>
    </row>
    <row r="29" spans="1:14" customFormat="1" x14ac:dyDescent="0.25">
      <c r="A29" s="2">
        <v>41182</v>
      </c>
      <c r="B29" s="51">
        <v>1189048.6499999999</v>
      </c>
      <c r="C29" s="6">
        <v>3</v>
      </c>
      <c r="D29" s="51"/>
      <c r="E29" s="4">
        <v>5.21E-2</v>
      </c>
      <c r="F29" s="4">
        <f t="shared" si="0"/>
        <v>0.33115599257135386</v>
      </c>
      <c r="G29" s="4"/>
      <c r="H29" s="4"/>
      <c r="I29" s="4">
        <v>5.5865060000000001E-2</v>
      </c>
      <c r="J29" s="4">
        <f t="shared" si="1"/>
        <v>0.39392765451235756</v>
      </c>
      <c r="K29" s="4"/>
      <c r="M29" s="4">
        <v>6.3500000000000001E-2</v>
      </c>
      <c r="N29" s="4">
        <f t="shared" si="2"/>
        <v>0.46532431525676254</v>
      </c>
    </row>
    <row r="30" spans="1:14" customFormat="1" x14ac:dyDescent="0.25">
      <c r="A30" s="2">
        <v>41274</v>
      </c>
      <c r="B30" s="51">
        <v>1172479.96</v>
      </c>
      <c r="C30" s="6">
        <v>3</v>
      </c>
      <c r="D30" s="51"/>
      <c r="E30" s="4">
        <v>-1.3899999999999999E-2</v>
      </c>
      <c r="F30" s="4">
        <f t="shared" si="0"/>
        <v>0.31265292427461211</v>
      </c>
      <c r="G30" s="4"/>
      <c r="H30" s="4"/>
      <c r="I30" s="4">
        <v>-1.216298E-2</v>
      </c>
      <c r="J30" s="4">
        <f t="shared" si="1"/>
        <v>0.3769733403290767</v>
      </c>
      <c r="K30" s="4"/>
      <c r="M30" s="4">
        <v>-3.8E-3</v>
      </c>
      <c r="N30" s="4">
        <f t="shared" si="2"/>
        <v>0.45975608285878677</v>
      </c>
    </row>
    <row r="31" spans="1:14" customFormat="1" x14ac:dyDescent="0.25">
      <c r="A31" s="2">
        <v>41364</v>
      </c>
      <c r="B31" s="51">
        <v>1246310.01</v>
      </c>
      <c r="C31" s="6">
        <v>3</v>
      </c>
      <c r="D31" s="51"/>
      <c r="E31" s="4">
        <v>6.3799999999999996E-2</v>
      </c>
      <c r="F31" s="4">
        <f t="shared" si="0"/>
        <v>0.39640018084333239</v>
      </c>
      <c r="G31" s="4"/>
      <c r="H31" s="4"/>
      <c r="I31" s="4">
        <v>6.5684679999999995E-2</v>
      </c>
      <c r="J31" s="4">
        <f t="shared" si="1"/>
        <v>0.46741939355712314</v>
      </c>
      <c r="K31" s="4"/>
      <c r="M31" s="4">
        <v>0.1061</v>
      </c>
      <c r="N31" s="4">
        <f t="shared" si="2"/>
        <v>0.61463620325010426</v>
      </c>
    </row>
    <row r="32" spans="1:14" customFormat="1" x14ac:dyDescent="0.25">
      <c r="A32" s="2">
        <v>41455</v>
      </c>
      <c r="B32" s="51">
        <v>1224175.08</v>
      </c>
      <c r="C32" s="6">
        <v>3</v>
      </c>
      <c r="D32" s="51"/>
      <c r="E32" s="4">
        <v>-1.1999999999999999E-3</v>
      </c>
      <c r="F32" s="4">
        <f t="shared" si="0"/>
        <v>0.39472450062632047</v>
      </c>
      <c r="G32" s="4"/>
      <c r="H32" s="4"/>
      <c r="I32" s="4">
        <v>1.2606900000000001E-3</v>
      </c>
      <c r="J32" s="4">
        <f t="shared" si="1"/>
        <v>0.46926935451238672</v>
      </c>
      <c r="K32" s="4"/>
      <c r="M32" s="4">
        <v>2.9100000000000001E-2</v>
      </c>
      <c r="N32" s="4">
        <f t="shared" si="2"/>
        <v>0.66162211676468208</v>
      </c>
    </row>
    <row r="33" spans="1:14" customFormat="1" x14ac:dyDescent="0.25">
      <c r="A33" s="2">
        <v>41547</v>
      </c>
      <c r="B33" s="51">
        <v>1266447.06</v>
      </c>
      <c r="C33" s="6">
        <v>3</v>
      </c>
      <c r="D33" s="51"/>
      <c r="E33" s="4">
        <v>2.5100000000000001E-2</v>
      </c>
      <c r="F33" s="4">
        <f t="shared" si="0"/>
        <v>0.42973208559204101</v>
      </c>
      <c r="G33" s="4"/>
      <c r="H33" s="4"/>
      <c r="I33" s="4">
        <v>2.829394E-2</v>
      </c>
      <c r="J33" s="4">
        <f t="shared" si="1"/>
        <v>0.51084077347279888</v>
      </c>
      <c r="K33" s="4"/>
      <c r="M33" s="4">
        <v>5.2400000000000002E-2</v>
      </c>
      <c r="N33" s="4">
        <f t="shared" si="2"/>
        <v>0.7486911156831515</v>
      </c>
    </row>
    <row r="34" spans="1:14" customFormat="1" x14ac:dyDescent="0.25">
      <c r="A34" s="2">
        <v>41639</v>
      </c>
      <c r="B34" s="51">
        <v>1308660.8</v>
      </c>
      <c r="C34" s="6">
        <v>3</v>
      </c>
      <c r="D34" s="51"/>
      <c r="E34" s="4">
        <v>3.8199999999999998E-2</v>
      </c>
      <c r="F34" s="4">
        <f t="shared" si="0"/>
        <v>0.48434785126165703</v>
      </c>
      <c r="G34" s="4"/>
      <c r="H34" s="4"/>
      <c r="I34" s="4">
        <v>4.0550299999999997E-2</v>
      </c>
      <c r="J34" s="4">
        <f t="shared" si="1"/>
        <v>0.57210582008935296</v>
      </c>
      <c r="K34" s="4"/>
      <c r="M34" s="4">
        <v>0.1051</v>
      </c>
      <c r="N34" s="4">
        <f t="shared" si="2"/>
        <v>0.93247855194145068</v>
      </c>
    </row>
    <row r="35" spans="1:14" customFormat="1" x14ac:dyDescent="0.25">
      <c r="A35" s="2">
        <v>41729</v>
      </c>
      <c r="B35" s="51">
        <v>351408.76</v>
      </c>
      <c r="C35" s="6">
        <v>2</v>
      </c>
      <c r="D35" s="51"/>
      <c r="E35" s="4">
        <v>1.9900000000000001E-2</v>
      </c>
      <c r="F35" s="4">
        <f t="shared" si="0"/>
        <v>0.51388637350176403</v>
      </c>
      <c r="G35" s="4"/>
      <c r="H35" s="4"/>
      <c r="I35" s="4">
        <v>2.621503E-2</v>
      </c>
      <c r="J35" s="4">
        <f t="shared" si="1"/>
        <v>0.61331862132616988</v>
      </c>
      <c r="K35" s="4"/>
      <c r="M35" s="4">
        <v>1.7999999999999999E-2</v>
      </c>
      <c r="N35" s="4">
        <f t="shared" si="2"/>
        <v>0.96726316587639682</v>
      </c>
    </row>
    <row r="36" spans="1:14" customFormat="1" x14ac:dyDescent="0.25">
      <c r="A36" s="2">
        <v>41820</v>
      </c>
      <c r="B36" s="51">
        <v>374741.76000000001</v>
      </c>
      <c r="C36" s="6">
        <v>2</v>
      </c>
      <c r="D36" s="51"/>
      <c r="E36" s="4">
        <v>7.0000000000000007E-2</v>
      </c>
      <c r="F36" s="4">
        <f t="shared" si="0"/>
        <v>0.6198584196468877</v>
      </c>
      <c r="G36" s="4"/>
      <c r="H36" s="4"/>
      <c r="I36" s="4">
        <v>7.6550099999999996E-2</v>
      </c>
      <c r="J36" s="4">
        <f t="shared" si="1"/>
        <v>0.73681832312055029</v>
      </c>
      <c r="K36" s="4"/>
      <c r="M36" s="4">
        <v>5.2400000000000002E-2</v>
      </c>
      <c r="N36" s="4">
        <f t="shared" si="2"/>
        <v>1.0703477557683199</v>
      </c>
    </row>
    <row r="37" spans="1:14" customFormat="1" x14ac:dyDescent="0.25">
      <c r="A37" s="2">
        <v>41912</v>
      </c>
      <c r="B37" s="51">
        <v>363236.56</v>
      </c>
      <c r="C37" s="6">
        <v>2</v>
      </c>
      <c r="D37" s="51"/>
      <c r="E37" s="4">
        <v>-3.0460000000000001E-2</v>
      </c>
      <c r="F37" s="4">
        <f t="shared" si="0"/>
        <v>0.57051753218444334</v>
      </c>
      <c r="G37" s="4"/>
      <c r="H37" s="4"/>
      <c r="I37" s="4">
        <v>-2.5600000000000001E-2</v>
      </c>
      <c r="J37" s="4">
        <f t="shared" si="1"/>
        <v>0.69235577404866433</v>
      </c>
      <c r="K37" s="4"/>
      <c r="M37" s="4">
        <v>1.1299999999999999E-2</v>
      </c>
      <c r="N37" s="4">
        <f t="shared" si="2"/>
        <v>1.0937426854085022</v>
      </c>
    </row>
    <row r="38" spans="1:14" customFormat="1" x14ac:dyDescent="0.25">
      <c r="A38" s="2">
        <v>41943</v>
      </c>
      <c r="B38" s="51">
        <v>358563.14</v>
      </c>
      <c r="C38" s="6">
        <v>2</v>
      </c>
      <c r="D38" s="51"/>
      <c r="E38" s="4">
        <v>-1.29E-2</v>
      </c>
      <c r="F38" s="4">
        <f t="shared" si="0"/>
        <v>0.55025785601926391</v>
      </c>
      <c r="G38" s="4"/>
      <c r="H38" s="4"/>
      <c r="I38" s="4">
        <v>-8.3999999999999995E-3</v>
      </c>
      <c r="J38" s="4">
        <f t="shared" si="1"/>
        <v>0.67813998554665567</v>
      </c>
      <c r="K38" s="4"/>
      <c r="M38" s="4">
        <v>2.4400000000000002E-2</v>
      </c>
      <c r="N38" s="4">
        <f t="shared" si="2"/>
        <v>1.1448300069324695</v>
      </c>
    </row>
    <row r="39" spans="1:14" customFormat="1" x14ac:dyDescent="0.25">
      <c r="A39" s="2">
        <v>41973</v>
      </c>
      <c r="B39" s="51">
        <v>356730.22</v>
      </c>
      <c r="C39" s="6">
        <v>2</v>
      </c>
      <c r="D39" s="51"/>
      <c r="E39" s="4">
        <v>2.06E-2</v>
      </c>
      <c r="F39" s="4">
        <f t="shared" si="0"/>
        <v>0.58219316785326058</v>
      </c>
      <c r="G39" s="4"/>
      <c r="H39" s="4"/>
      <c r="I39" s="4">
        <v>2.06E-2</v>
      </c>
      <c r="J39" s="4">
        <f t="shared" si="1"/>
        <v>0.71270966924891677</v>
      </c>
      <c r="K39" s="4"/>
      <c r="M39" s="4">
        <v>2.69E-2</v>
      </c>
      <c r="N39" s="4">
        <f t="shared" si="2"/>
        <v>1.2025259341189529</v>
      </c>
    </row>
    <row r="40" spans="1:14" customFormat="1" x14ac:dyDescent="0.25">
      <c r="A40" s="2">
        <v>42004</v>
      </c>
      <c r="B40" s="51">
        <v>352298.39</v>
      </c>
      <c r="C40" s="6">
        <v>2</v>
      </c>
      <c r="D40" s="51"/>
      <c r="E40" s="4">
        <v>-1.24E-2</v>
      </c>
      <c r="F40" s="4">
        <f t="shared" si="0"/>
        <v>0.56257397257188013</v>
      </c>
      <c r="G40" s="4"/>
      <c r="H40" s="4"/>
      <c r="I40" s="4">
        <v>-1.06E-2</v>
      </c>
      <c r="J40" s="4">
        <f t="shared" si="1"/>
        <v>0.69455494675487817</v>
      </c>
      <c r="K40" s="4"/>
      <c r="M40" s="4">
        <v>-2.5000000000000001E-3</v>
      </c>
      <c r="N40" s="4">
        <f t="shared" si="2"/>
        <v>1.1970196192836555</v>
      </c>
    </row>
    <row r="41" spans="1:14" customFormat="1" x14ac:dyDescent="0.25">
      <c r="A41" s="2">
        <v>42035</v>
      </c>
      <c r="B41" s="51">
        <v>342260</v>
      </c>
      <c r="C41" s="6">
        <v>2</v>
      </c>
      <c r="D41" s="51"/>
      <c r="E41" s="4">
        <v>-2.8500000000000001E-2</v>
      </c>
      <c r="F41" s="4">
        <f t="shared" si="0"/>
        <v>0.51804061435358162</v>
      </c>
      <c r="G41" s="4"/>
      <c r="H41" s="4"/>
      <c r="I41" s="4">
        <v>-2.4299999999999999E-2</v>
      </c>
      <c r="J41" s="4">
        <f t="shared" si="1"/>
        <v>0.65337726154873454</v>
      </c>
      <c r="K41" s="4"/>
      <c r="M41" s="4">
        <v>-0.03</v>
      </c>
      <c r="N41" s="4">
        <f t="shared" si="2"/>
        <v>1.1311090307051459</v>
      </c>
    </row>
    <row r="42" spans="1:14" customFormat="1" x14ac:dyDescent="0.25">
      <c r="A42" s="2">
        <v>42063</v>
      </c>
      <c r="B42" s="51">
        <v>364885.56</v>
      </c>
      <c r="C42" s="6">
        <v>2</v>
      </c>
      <c r="D42" s="51"/>
      <c r="E42" s="4">
        <v>6.6100000000000006E-2</v>
      </c>
      <c r="F42" s="4">
        <f t="shared" si="0"/>
        <v>0.61838309896235333</v>
      </c>
      <c r="G42" s="4"/>
      <c r="H42" s="4"/>
      <c r="I42" s="4">
        <v>6.6100000000000006E-2</v>
      </c>
      <c r="J42" s="4">
        <f t="shared" si="1"/>
        <v>0.76266549853710597</v>
      </c>
      <c r="K42" s="4"/>
      <c r="M42" s="4">
        <v>5.7500000000000002E-2</v>
      </c>
      <c r="N42" s="4">
        <f t="shared" si="2"/>
        <v>1.2536477999706919</v>
      </c>
    </row>
    <row r="43" spans="1:14" customFormat="1" x14ac:dyDescent="0.25">
      <c r="A43" s="2">
        <v>42094</v>
      </c>
      <c r="B43" s="51">
        <v>356983.85</v>
      </c>
      <c r="C43" s="6">
        <v>2</v>
      </c>
      <c r="D43" s="51"/>
      <c r="E43" s="4">
        <v>-2.1700000000000001E-2</v>
      </c>
      <c r="F43" s="4">
        <f t="shared" si="0"/>
        <v>0.58326418571487015</v>
      </c>
      <c r="G43" s="4"/>
      <c r="H43" s="4"/>
      <c r="I43" s="4">
        <v>-2.1700000000000001E-2</v>
      </c>
      <c r="J43" s="4">
        <f t="shared" si="1"/>
        <v>0.72441565721885071</v>
      </c>
      <c r="K43" s="4"/>
      <c r="M43" s="4">
        <v>-1.5800000000000002E-2</v>
      </c>
      <c r="N43" s="4">
        <f t="shared" si="2"/>
        <v>1.2180401647311547</v>
      </c>
    </row>
    <row r="44" spans="1:14" customFormat="1" x14ac:dyDescent="0.25">
      <c r="A44" s="2">
        <v>42124</v>
      </c>
      <c r="B44" s="51">
        <v>364413.16</v>
      </c>
      <c r="C44" s="6">
        <v>2</v>
      </c>
      <c r="D44" s="51"/>
      <c r="E44" s="4">
        <v>2.0799999999999999E-2</v>
      </c>
      <c r="F44" s="4">
        <f t="shared" si="0"/>
        <v>0.61619608077773935</v>
      </c>
      <c r="G44" s="4"/>
      <c r="H44" s="4"/>
      <c r="I44" s="4">
        <v>2.5100000000000001E-2</v>
      </c>
      <c r="J44" s="4">
        <f t="shared" si="1"/>
        <v>0.76769849021504366</v>
      </c>
      <c r="K44" s="4"/>
      <c r="M44" s="4">
        <v>9.5999999999999992E-3</v>
      </c>
      <c r="N44" s="4">
        <f t="shared" si="2"/>
        <v>1.2393333503125739</v>
      </c>
    </row>
    <row r="45" spans="1:14" customFormat="1" x14ac:dyDescent="0.25">
      <c r="A45" s="2">
        <v>42155</v>
      </c>
      <c r="B45" s="51">
        <v>361368.63</v>
      </c>
      <c r="C45" s="6">
        <v>2</v>
      </c>
      <c r="D45" s="51"/>
      <c r="E45" s="4">
        <v>-8.3999999999999995E-3</v>
      </c>
      <c r="F45" s="4">
        <f t="shared" si="0"/>
        <v>0.60262003369920647</v>
      </c>
      <c r="G45" s="4"/>
      <c r="H45" s="4"/>
      <c r="I45" s="4">
        <v>-7.7000000000000002E-3</v>
      </c>
      <c r="J45" s="4">
        <f t="shared" si="1"/>
        <v>0.75408721184038785</v>
      </c>
      <c r="K45" s="4"/>
      <c r="M45" s="4">
        <v>1.29E-2</v>
      </c>
      <c r="N45" s="4">
        <f t="shared" si="2"/>
        <v>1.2682207505316057</v>
      </c>
    </row>
    <row r="46" spans="1:14" customFormat="1" x14ac:dyDescent="0.25">
      <c r="A46" s="2">
        <v>42185</v>
      </c>
      <c r="B46" s="51">
        <v>351085.62</v>
      </c>
      <c r="C46" s="6">
        <v>2</v>
      </c>
      <c r="D46" s="51"/>
      <c r="E46" s="4">
        <v>-2.8500000000000001E-2</v>
      </c>
      <c r="F46" s="4">
        <f t="shared" si="0"/>
        <v>0.55694536273877904</v>
      </c>
      <c r="G46" s="4"/>
      <c r="H46" s="4"/>
      <c r="I46" s="4">
        <v>-2.7199999999999998E-2</v>
      </c>
      <c r="J46" s="4">
        <f t="shared" si="1"/>
        <v>0.7063760396783294</v>
      </c>
      <c r="K46" s="4"/>
      <c r="M46" s="4">
        <v>-1.9400000000000001E-2</v>
      </c>
      <c r="N46" s="4">
        <f t="shared" si="2"/>
        <v>1.2242172679712926</v>
      </c>
    </row>
    <row r="47" spans="1:14" customFormat="1" x14ac:dyDescent="0.25">
      <c r="A47" s="2">
        <v>42216</v>
      </c>
      <c r="B47" s="51">
        <v>348650.36</v>
      </c>
      <c r="C47" s="6">
        <v>2</v>
      </c>
      <c r="D47" s="51"/>
      <c r="E47" s="4">
        <v>-6.8999999999999999E-3</v>
      </c>
      <c r="F47" s="4">
        <f t="shared" si="0"/>
        <v>0.54620243973588134</v>
      </c>
      <c r="G47" s="4"/>
      <c r="H47" s="4"/>
      <c r="I47" s="4">
        <v>-2.7000000000000001E-3</v>
      </c>
      <c r="J47" s="4">
        <f t="shared" si="1"/>
        <v>0.70176882437119792</v>
      </c>
      <c r="K47" s="4"/>
      <c r="M47" s="4">
        <v>2.0899999999999998E-2</v>
      </c>
      <c r="N47" s="4">
        <f t="shared" si="2"/>
        <v>1.2707034088718925</v>
      </c>
    </row>
    <row r="48" spans="1:14" customFormat="1" x14ac:dyDescent="0.25">
      <c r="A48" s="2">
        <v>42247</v>
      </c>
      <c r="B48" s="51">
        <v>329622.93</v>
      </c>
      <c r="C48" s="6">
        <v>2</v>
      </c>
      <c r="D48" s="51"/>
      <c r="E48" s="4">
        <v>-5.4600000000000003E-2</v>
      </c>
      <c r="F48" s="4">
        <f t="shared" si="0"/>
        <v>0.46177978652630225</v>
      </c>
      <c r="G48" s="4"/>
      <c r="H48" s="4"/>
      <c r="I48" s="4">
        <v>-5.4600000000000003E-2</v>
      </c>
      <c r="J48" s="4">
        <f t="shared" si="1"/>
        <v>0.60885224656053061</v>
      </c>
      <c r="K48" s="4"/>
      <c r="M48" s="4">
        <v>-6.0299999999999999E-2</v>
      </c>
      <c r="N48" s="4">
        <f t="shared" si="2"/>
        <v>1.1337799933169173</v>
      </c>
    </row>
    <row r="49" spans="1:14" customFormat="1" x14ac:dyDescent="0.25">
      <c r="A49" s="2">
        <v>42277</v>
      </c>
      <c r="B49" s="51">
        <v>325105.95</v>
      </c>
      <c r="C49" s="6">
        <v>2</v>
      </c>
      <c r="D49" s="51"/>
      <c r="E49" s="4">
        <v>-1.37E-2</v>
      </c>
      <c r="F49" s="4">
        <f t="shared" si="0"/>
        <v>0.44175340345089187</v>
      </c>
      <c r="G49" s="4"/>
      <c r="H49" s="4"/>
      <c r="I49" s="4">
        <v>-1.37E-2</v>
      </c>
      <c r="J49" s="4">
        <f t="shared" si="1"/>
        <v>0.58681097078265121</v>
      </c>
      <c r="K49" s="4"/>
      <c r="M49" s="4">
        <v>-2.47E-2</v>
      </c>
      <c r="N49" s="4">
        <f t="shared" si="2"/>
        <v>1.0810756274819897</v>
      </c>
    </row>
    <row r="50" spans="1:14" customFormat="1" x14ac:dyDescent="0.25">
      <c r="A50" s="2">
        <v>42308</v>
      </c>
      <c r="B50" s="51">
        <v>346768.85</v>
      </c>
      <c r="C50" s="6">
        <v>2</v>
      </c>
      <c r="D50" s="51"/>
      <c r="E50" s="4">
        <v>6.6600000000000006E-2</v>
      </c>
      <c r="F50" s="4">
        <f t="shared" si="0"/>
        <v>0.5377741801207212</v>
      </c>
      <c r="G50" s="4"/>
      <c r="H50" s="4"/>
      <c r="I50" s="4">
        <v>7.1099999999999997E-2</v>
      </c>
      <c r="J50" s="4">
        <f t="shared" si="1"/>
        <v>0.69963323080529771</v>
      </c>
      <c r="K50" s="4"/>
      <c r="M50" s="4">
        <v>8.4400000000000003E-2</v>
      </c>
      <c r="N50" s="4">
        <f>(N49+1)*(M50+1)-1</f>
        <v>1.2567184104414699</v>
      </c>
    </row>
    <row r="51" spans="1:14" customFormat="1" x14ac:dyDescent="0.25">
      <c r="A51" s="2">
        <v>42338</v>
      </c>
      <c r="B51" s="51">
        <v>314532.2</v>
      </c>
      <c r="C51" s="6">
        <v>2</v>
      </c>
      <c r="D51" s="51"/>
      <c r="E51" s="4">
        <v>-5.7999999999999996E-3</v>
      </c>
      <c r="F51" s="4">
        <f t="shared" si="0"/>
        <v>0.52885508987602092</v>
      </c>
      <c r="G51" s="4"/>
      <c r="H51" s="4"/>
      <c r="I51" s="4">
        <v>-5.1999999999999998E-3</v>
      </c>
      <c r="J51" s="4">
        <f t="shared" si="1"/>
        <v>0.69079513800511028</v>
      </c>
      <c r="K51" s="4"/>
      <c r="M51" s="4">
        <v>3.0000000000000001E-3</v>
      </c>
      <c r="N51" s="4">
        <f>(N50+1)*(M51+1)-1</f>
        <v>1.2634885656727941</v>
      </c>
    </row>
    <row r="52" spans="1:14" customFormat="1" x14ac:dyDescent="0.25">
      <c r="A52" s="2">
        <v>42369</v>
      </c>
      <c r="B52" s="51">
        <v>308645.25</v>
      </c>
      <c r="C52" s="6">
        <v>2</v>
      </c>
      <c r="D52" s="51"/>
      <c r="E52" s="4">
        <v>-1.8700000000000001E-2</v>
      </c>
      <c r="F52" s="4">
        <f t="shared" si="0"/>
        <v>0.50026549969533929</v>
      </c>
      <c r="G52" s="4"/>
      <c r="H52" s="4"/>
      <c r="I52" s="4">
        <v>-1.7399999999999999E-2</v>
      </c>
      <c r="J52" s="4">
        <f t="shared" si="1"/>
        <v>0.66137530260382138</v>
      </c>
      <c r="K52" s="4"/>
      <c r="M52" s="4">
        <v>-1.5800000000000002E-2</v>
      </c>
      <c r="N52" s="4">
        <f>(N51+1)*(M52+1)-1</f>
        <v>1.2277254463351639</v>
      </c>
    </row>
  </sheetData>
  <phoneticPr fontId="2"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p:properties xmlns:p="http://schemas.microsoft.com/office/2006/metadata/properties" xmlns:xsi="http://www.w3.org/2001/XMLSchema-instance" xmlns:pc="http://schemas.microsoft.com/office/infopath/2007/PartnerControls">
  <documentManagement>
    <MigrationWizIdPermissions xmlns="db58b361-de72-439a-9b19-5afb42a4fe9e" xsi:nil="true"/>
    <TaxCatchAll xmlns="e26837be-2e64-4fb1-8d10-81cb111b0084" xsi:nil="true"/>
    <lcf76f155ced4ddcb4097134ff3c332f xmlns="db58b361-de72-439a-9b19-5afb42a4fe9e">
      <Terms xmlns="http://schemas.microsoft.com/office/infopath/2007/PartnerControls"/>
    </lcf76f155ced4ddcb4097134ff3c332f>
    <MigrationWizId xmlns="db58b361-de72-439a-9b19-5afb42a4fe9e" xsi:nil="true"/>
    <MigrationWizIdVersion xmlns="db58b361-de72-439a-9b19-5afb42a4fe9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816A82F3E39F6D48966CE5F2A60D183C" ma:contentTypeVersion="14" ma:contentTypeDescription="Create a new document." ma:contentTypeScope="" ma:versionID="ee6fa4220ecdfcc2f6fea1f3e0d62b76">
  <xsd:schema xmlns:xsd="http://www.w3.org/2001/XMLSchema" xmlns:xs="http://www.w3.org/2001/XMLSchema" xmlns:p="http://schemas.microsoft.com/office/2006/metadata/properties" xmlns:ns2="db58b361-de72-439a-9b19-5afb42a4fe9e" xmlns:ns3="e26837be-2e64-4fb1-8d10-81cb111b0084" targetNamespace="http://schemas.microsoft.com/office/2006/metadata/properties" ma:root="true" ma:fieldsID="54ce9d38be15445670b4f969d736cc65" ns2:_="" ns3:_="">
    <xsd:import namespace="db58b361-de72-439a-9b19-5afb42a4fe9e"/>
    <xsd:import namespace="e26837be-2e64-4fb1-8d10-81cb111b0084"/>
    <xsd:element name="properties">
      <xsd:complexType>
        <xsd:sequence>
          <xsd:element name="documentManagement">
            <xsd:complexType>
              <xsd:all>
                <xsd:element ref="ns2:MigrationWizId" minOccurs="0"/>
                <xsd:element ref="ns2:MigrationWizIdPermissions" minOccurs="0"/>
                <xsd:element ref="ns2:MigrationWizIdVers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58b361-de72-439a-9b19-5afb42a4fe9e"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Version" ma:index="10" nillable="true" ma:displayName="MigrationWizIdVersion" ma:internalName="MigrationWizIdVersion">
      <xsd:simpleType>
        <xsd:restriction base="dms:Text"/>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descriptio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6639c25-1a56-4197-b479-8befda008741"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26837be-2e64-4fb1-8d10-81cb111b0084"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b3bc2a0c-107b-4c5c-910e-cb5bd0310dcf}" ma:internalName="TaxCatchAll" ma:showField="CatchAllData" ma:web="e26837be-2e64-4fb1-8d10-81cb111b00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B5626C-8856-4A95-9F0E-E11B697B99F7}">
  <ds:schemaRefs>
    <ds:schemaRef ds:uri="http://schemas.microsoft.com/office/2006/metadata/longProperties"/>
  </ds:schemaRefs>
</ds:datastoreItem>
</file>

<file path=customXml/itemProps2.xml><?xml version="1.0" encoding="utf-8"?>
<ds:datastoreItem xmlns:ds="http://schemas.openxmlformats.org/officeDocument/2006/customXml" ds:itemID="{5AAF94B7-C0BF-4C65-94E0-3C00A4751992}">
  <ds:schemaRefs>
    <ds:schemaRef ds:uri="http://schemas.microsoft.com/office/2006/metadata/properties"/>
    <ds:schemaRef ds:uri="http://schemas.microsoft.com/office/infopath/2007/PartnerControls"/>
    <ds:schemaRef ds:uri="db58b361-de72-439a-9b19-5afb42a4fe9e"/>
    <ds:schemaRef ds:uri="e26837be-2e64-4fb1-8d10-81cb111b0084"/>
  </ds:schemaRefs>
</ds:datastoreItem>
</file>

<file path=customXml/itemProps3.xml><?xml version="1.0" encoding="utf-8"?>
<ds:datastoreItem xmlns:ds="http://schemas.openxmlformats.org/officeDocument/2006/customXml" ds:itemID="{B935EBF5-6B8E-4CDA-9F6E-A9048C14AAFA}">
  <ds:schemaRefs>
    <ds:schemaRef ds:uri="http://schemas.microsoft.com/sharepoint/v3/contenttype/forms"/>
  </ds:schemaRefs>
</ds:datastoreItem>
</file>

<file path=customXml/itemProps4.xml><?xml version="1.0" encoding="utf-8"?>
<ds:datastoreItem xmlns:ds="http://schemas.openxmlformats.org/officeDocument/2006/customXml" ds:itemID="{3464ED5D-DF0E-4616-AA4E-BC4B822077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58b361-de72-439a-9b19-5afb42a4fe9e"/>
    <ds:schemaRef ds:uri="e26837be-2e64-4fb1-8d10-81cb111b00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Composite Returns</vt:lpstr>
      <vt:lpstr>Period Returns</vt:lpstr>
      <vt:lpstr>Old Returns</vt:lpstr>
      <vt:lpstr>'Composite Returns'!Print_Area</vt:lpstr>
      <vt:lpstr>'Period Returns'!Print_Area</vt:lpstr>
    </vt:vector>
  </TitlesOfParts>
  <Company>Martin Capital Partners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Reid Weaver</cp:lastModifiedBy>
  <cp:lastPrinted>2026-04-08T16:46:28Z</cp:lastPrinted>
  <dcterms:created xsi:type="dcterms:W3CDTF">2011-01-07T21:42:21Z</dcterms:created>
  <dcterms:modified xsi:type="dcterms:W3CDTF">2026-10-13T19:19:43Z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lpwstr>2600.00000000000</vt:lpwstr>
  </property>
  <property fmtid="{D5CDD505-2E9C-101B-9397-08002B2CF9AE}" pid="3" name="MediaServiceImageTags">
    <vt:lpwstr/>
  </property>
</Properties>
</file>