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E19BB36B-A99A-474A-B8D4-1E6CA44C2199}" xr6:coauthVersionLast="47" xr6:coauthVersionMax="47" xr10:uidLastSave="{00000000-0000-0000-0000-000000000000}"/>
  <bookViews>
    <workbookView xWindow="-28920" yWindow="-120" windowWidth="29040" windowHeight="15720" xr2:uid="{66E7572A-080A-45FF-BB0E-0F119ECD62AA}"/>
  </bookViews>
  <sheets>
    <sheet name="QDVD" sheetId="1" r:id="rId1"/>
    <sheet name="SMID" sheetId="4" r:id="rId2"/>
    <sheet name="DAC" sheetId="2" r:id="rId3"/>
    <sheet name="OR" sheetId="3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R1" i="5"/>
  <c r="D2" i="5"/>
  <c r="E2" i="5"/>
  <c r="F2" i="5"/>
  <c r="R2" i="5"/>
  <c r="D3" i="5"/>
  <c r="E3" i="5"/>
  <c r="F3" i="5"/>
  <c r="R3" i="5"/>
  <c r="D4" i="5"/>
  <c r="E4" i="5"/>
  <c r="F4" i="5"/>
  <c r="R4" i="5"/>
  <c r="D5" i="5"/>
  <c r="E5" i="5"/>
  <c r="F5" i="5"/>
  <c r="R5" i="5"/>
  <c r="D6" i="5"/>
  <c r="F6" i="5"/>
  <c r="R6" i="5"/>
  <c r="D7" i="5"/>
  <c r="E7" i="5"/>
  <c r="F7" i="5"/>
  <c r="R7" i="5"/>
  <c r="D8" i="5"/>
  <c r="F8" i="5"/>
  <c r="R8" i="5"/>
  <c r="D9" i="5"/>
  <c r="E9" i="5"/>
  <c r="F9" i="5"/>
  <c r="R9" i="5"/>
  <c r="D10" i="5"/>
  <c r="F10" i="5"/>
  <c r="R10" i="5"/>
  <c r="D11" i="5"/>
  <c r="F11" i="5"/>
  <c r="R11" i="5"/>
  <c r="D12" i="5"/>
  <c r="E12" i="5"/>
  <c r="F12" i="5"/>
  <c r="R12" i="5"/>
  <c r="D13" i="5"/>
  <c r="E13" i="5"/>
  <c r="F13" i="5"/>
  <c r="R13" i="5"/>
  <c r="D14" i="5"/>
  <c r="E14" i="5"/>
  <c r="F14" i="5"/>
  <c r="R14" i="5"/>
  <c r="D15" i="5"/>
  <c r="F15" i="5"/>
  <c r="R15" i="5"/>
  <c r="D16" i="5"/>
  <c r="F16" i="5"/>
  <c r="O16" i="5"/>
  <c r="R16" i="5"/>
  <c r="D17" i="5"/>
  <c r="F17" i="5"/>
  <c r="R17" i="5"/>
  <c r="D18" i="5"/>
  <c r="E18" i="5"/>
  <c r="F18" i="5"/>
  <c r="R18" i="5"/>
  <c r="D19" i="5"/>
  <c r="E19" i="5"/>
  <c r="F19" i="5"/>
  <c r="R19" i="5"/>
  <c r="D20" i="5"/>
  <c r="E20" i="5"/>
  <c r="F20" i="5"/>
  <c r="R20" i="5"/>
  <c r="D21" i="5"/>
  <c r="E21" i="5"/>
  <c r="F21" i="5"/>
  <c r="R21" i="5"/>
  <c r="D22" i="5"/>
  <c r="F22" i="5"/>
  <c r="R22" i="5"/>
  <c r="D23" i="5"/>
  <c r="E23" i="5"/>
  <c r="F23" i="5"/>
  <c r="R23" i="5"/>
  <c r="D24" i="5"/>
  <c r="F24" i="5"/>
  <c r="R24" i="5"/>
  <c r="D25" i="5"/>
  <c r="E25" i="5"/>
  <c r="F25" i="5"/>
  <c r="R25" i="5"/>
  <c r="D26" i="5"/>
  <c r="F26" i="5"/>
  <c r="R26" i="5"/>
  <c r="D27" i="5"/>
  <c r="F27" i="5"/>
  <c r="R27" i="5"/>
  <c r="D28" i="5"/>
  <c r="F28" i="5"/>
  <c r="R28" i="5"/>
  <c r="D29" i="5"/>
  <c r="F29" i="5"/>
  <c r="R29" i="5"/>
  <c r="D30" i="5"/>
  <c r="F30" i="5"/>
  <c r="R30" i="5"/>
  <c r="D31" i="5"/>
  <c r="F31" i="5"/>
  <c r="R31" i="5"/>
  <c r="D32" i="5"/>
  <c r="F32" i="5"/>
  <c r="R32" i="5"/>
  <c r="D33" i="5"/>
  <c r="F33" i="5"/>
  <c r="R33" i="5"/>
  <c r="D34" i="5"/>
  <c r="F34" i="5"/>
  <c r="R34" i="5"/>
  <c r="D35" i="5"/>
  <c r="F35" i="5"/>
  <c r="R35" i="5"/>
  <c r="D36" i="5"/>
  <c r="F36" i="5"/>
  <c r="R36" i="5"/>
  <c r="D37" i="5"/>
  <c r="F37" i="5"/>
  <c r="R37" i="5"/>
  <c r="D38" i="5"/>
  <c r="E38" i="5"/>
  <c r="F38" i="5"/>
  <c r="R38" i="5"/>
  <c r="D39" i="5"/>
  <c r="E39" i="5"/>
  <c r="F39" i="5"/>
  <c r="R39" i="5"/>
  <c r="D40" i="5"/>
  <c r="F40" i="5"/>
  <c r="R40" i="5"/>
  <c r="D41" i="5"/>
  <c r="E41" i="5"/>
  <c r="F41" i="5"/>
  <c r="O41" i="5"/>
  <c r="R41" i="5"/>
  <c r="D42" i="5"/>
  <c r="F42" i="5"/>
  <c r="R42" i="5"/>
  <c r="D43" i="5"/>
  <c r="F43" i="5"/>
  <c r="R43" i="5"/>
  <c r="D44" i="5"/>
  <c r="E44" i="5"/>
  <c r="F44" i="5"/>
  <c r="R44" i="5"/>
  <c r="D45" i="5"/>
  <c r="E45" i="5"/>
  <c r="F45" i="5"/>
  <c r="O45" i="5"/>
  <c r="R45" i="5"/>
  <c r="D46" i="5"/>
  <c r="E46" i="5"/>
  <c r="F46" i="5"/>
  <c r="G46" i="5"/>
  <c r="H46" i="5"/>
  <c r="J46" i="5"/>
  <c r="K46" i="5"/>
  <c r="R46" i="5"/>
  <c r="A1" i="4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B2" i="4"/>
  <c r="D2" i="4"/>
  <c r="E2" i="4"/>
  <c r="F2" i="4"/>
  <c r="R2" i="4"/>
  <c r="B3" i="4"/>
  <c r="D3" i="4"/>
  <c r="E3" i="4"/>
  <c r="F3" i="4"/>
  <c r="R3" i="4"/>
  <c r="B4" i="4"/>
  <c r="D4" i="4"/>
  <c r="E4" i="4"/>
  <c r="F4" i="4"/>
  <c r="O4" i="4"/>
  <c r="R4" i="4"/>
  <c r="B5" i="4"/>
  <c r="D5" i="4"/>
  <c r="E5" i="4"/>
  <c r="F5" i="4"/>
  <c r="R5" i="4"/>
  <c r="B6" i="4"/>
  <c r="D6" i="4"/>
  <c r="E6" i="4"/>
  <c r="F6" i="4"/>
  <c r="R6" i="4"/>
  <c r="B7" i="4"/>
  <c r="D7" i="4"/>
  <c r="E7" i="4"/>
  <c r="F7" i="4"/>
  <c r="R7" i="4"/>
  <c r="B8" i="4"/>
  <c r="D8" i="4"/>
  <c r="F8" i="4"/>
  <c r="R8" i="4"/>
  <c r="B9" i="4"/>
  <c r="D9" i="4"/>
  <c r="F9" i="4"/>
  <c r="R9" i="4"/>
  <c r="B10" i="4"/>
  <c r="D10" i="4"/>
  <c r="E10" i="4"/>
  <c r="F10" i="4"/>
  <c r="R10" i="4"/>
  <c r="B11" i="4"/>
  <c r="D11" i="4"/>
  <c r="F11" i="4"/>
  <c r="R11" i="4"/>
  <c r="B12" i="4"/>
  <c r="D12" i="4"/>
  <c r="F12" i="4"/>
  <c r="R12" i="4"/>
  <c r="B13" i="4"/>
  <c r="D13" i="4"/>
  <c r="F13" i="4"/>
  <c r="R13" i="4"/>
  <c r="B14" i="4"/>
  <c r="D14" i="4"/>
  <c r="F14" i="4"/>
  <c r="R14" i="4"/>
  <c r="B15" i="4"/>
  <c r="D15" i="4"/>
  <c r="F15" i="4"/>
  <c r="R15" i="4"/>
  <c r="B16" i="4"/>
  <c r="D16" i="4"/>
  <c r="F16" i="4"/>
  <c r="R16" i="4"/>
  <c r="B17" i="4"/>
  <c r="D17" i="4"/>
  <c r="F17" i="4"/>
  <c r="R17" i="4"/>
  <c r="B18" i="4"/>
  <c r="D18" i="4"/>
  <c r="F18" i="4"/>
  <c r="R18" i="4"/>
  <c r="B19" i="4"/>
  <c r="D19" i="4"/>
  <c r="F19" i="4"/>
  <c r="R19" i="4"/>
  <c r="B20" i="4"/>
  <c r="D20" i="4"/>
  <c r="F20" i="4"/>
  <c r="R20" i="4"/>
  <c r="B21" i="4"/>
  <c r="D21" i="4"/>
  <c r="E21" i="4"/>
  <c r="F21" i="4"/>
  <c r="R21" i="4"/>
  <c r="B22" i="4"/>
  <c r="D22" i="4"/>
  <c r="E22" i="4"/>
  <c r="F22" i="4"/>
  <c r="R22" i="4"/>
  <c r="B23" i="4"/>
  <c r="D23" i="4"/>
  <c r="F23" i="4"/>
  <c r="R23" i="4"/>
  <c r="B24" i="4"/>
  <c r="D24" i="4"/>
  <c r="F24" i="4"/>
  <c r="R24" i="4"/>
  <c r="B25" i="4"/>
  <c r="D25" i="4"/>
  <c r="F25" i="4"/>
  <c r="R25" i="4"/>
  <c r="B26" i="4"/>
  <c r="D26" i="4"/>
  <c r="E26" i="4"/>
  <c r="F26" i="4"/>
  <c r="R26" i="4"/>
  <c r="B27" i="4"/>
  <c r="D27" i="4"/>
  <c r="E27" i="4"/>
  <c r="F27" i="4"/>
  <c r="G27" i="4"/>
  <c r="H27" i="4"/>
  <c r="J27" i="4"/>
  <c r="K27" i="4"/>
  <c r="R27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B2" i="3"/>
  <c r="D2" i="3"/>
  <c r="E2" i="3"/>
  <c r="F2" i="3"/>
  <c r="R2" i="3"/>
  <c r="B3" i="3"/>
  <c r="D3" i="3"/>
  <c r="E3" i="3"/>
  <c r="F3" i="3"/>
  <c r="R3" i="3"/>
  <c r="B4" i="3"/>
  <c r="D4" i="3"/>
  <c r="E4" i="3"/>
  <c r="F4" i="3"/>
  <c r="R4" i="3"/>
  <c r="B5" i="3"/>
  <c r="D5" i="3"/>
  <c r="F5" i="3"/>
  <c r="R5" i="3"/>
  <c r="B6" i="3"/>
  <c r="D6" i="3"/>
  <c r="E6" i="3"/>
  <c r="F6" i="3"/>
  <c r="R6" i="3"/>
  <c r="B7" i="3"/>
  <c r="D7" i="3"/>
  <c r="F7" i="3"/>
  <c r="R7" i="3"/>
  <c r="B8" i="3"/>
  <c r="D8" i="3"/>
  <c r="F8" i="3"/>
  <c r="R8" i="3"/>
  <c r="B9" i="3"/>
  <c r="D9" i="3"/>
  <c r="E9" i="3"/>
  <c r="F9" i="3"/>
  <c r="R9" i="3"/>
  <c r="B10" i="3"/>
  <c r="D10" i="3"/>
  <c r="F10" i="3"/>
  <c r="R10" i="3"/>
  <c r="B11" i="3"/>
  <c r="D11" i="3"/>
  <c r="F11" i="3"/>
  <c r="R11" i="3"/>
  <c r="B12" i="3"/>
  <c r="D12" i="3"/>
  <c r="F12" i="3"/>
  <c r="R12" i="3"/>
  <c r="B13" i="3"/>
  <c r="D13" i="3"/>
  <c r="F13" i="3"/>
  <c r="R13" i="3"/>
  <c r="B14" i="3"/>
  <c r="D14" i="3"/>
  <c r="E14" i="3"/>
  <c r="F14" i="3"/>
  <c r="R14" i="3"/>
  <c r="B15" i="3"/>
  <c r="D15" i="3"/>
  <c r="F15" i="3"/>
  <c r="R15" i="3"/>
  <c r="B16" i="3"/>
  <c r="D16" i="3"/>
  <c r="F16" i="3"/>
  <c r="R16" i="3"/>
  <c r="B17" i="3"/>
  <c r="D17" i="3"/>
  <c r="E17" i="3"/>
  <c r="F17" i="3"/>
  <c r="R17" i="3"/>
  <c r="B18" i="3"/>
  <c r="D18" i="3"/>
  <c r="F18" i="3"/>
  <c r="R18" i="3"/>
  <c r="B19" i="3"/>
  <c r="D19" i="3"/>
  <c r="F19" i="3"/>
  <c r="R19" i="3"/>
  <c r="B20" i="3"/>
  <c r="D20" i="3"/>
  <c r="F20" i="3"/>
  <c r="R20" i="3"/>
  <c r="B21" i="3"/>
  <c r="D21" i="3"/>
  <c r="F21" i="3"/>
  <c r="R21" i="3"/>
  <c r="B22" i="3"/>
  <c r="D22" i="3"/>
  <c r="F22" i="3"/>
  <c r="R22" i="3"/>
  <c r="B23" i="3"/>
  <c r="D23" i="3"/>
  <c r="F23" i="3"/>
  <c r="R23" i="3"/>
  <c r="B24" i="3"/>
  <c r="D24" i="3"/>
  <c r="F24" i="3"/>
  <c r="R24" i="3"/>
  <c r="B25" i="3"/>
  <c r="D25" i="3"/>
  <c r="E25" i="3"/>
  <c r="F25" i="3"/>
  <c r="R25" i="3"/>
  <c r="B26" i="3"/>
  <c r="D26" i="3"/>
  <c r="F26" i="3"/>
  <c r="R26" i="3"/>
  <c r="B27" i="3"/>
  <c r="D27" i="3"/>
  <c r="F27" i="3"/>
  <c r="R27" i="3"/>
  <c r="B28" i="3"/>
  <c r="D28" i="3"/>
  <c r="E28" i="3"/>
  <c r="F28" i="3"/>
  <c r="R28" i="3"/>
  <c r="B29" i="3"/>
  <c r="D29" i="3"/>
  <c r="F29" i="3"/>
  <c r="R29" i="3"/>
  <c r="B30" i="3"/>
  <c r="D30" i="3"/>
  <c r="F30" i="3"/>
  <c r="R30" i="3"/>
  <c r="B31" i="3"/>
  <c r="D31" i="3"/>
  <c r="E31" i="3"/>
  <c r="F31" i="3"/>
  <c r="R31" i="3"/>
  <c r="B32" i="3"/>
  <c r="D32" i="3"/>
  <c r="F32" i="3"/>
  <c r="R32" i="3"/>
  <c r="B33" i="3"/>
  <c r="D33" i="3"/>
  <c r="F33" i="3"/>
  <c r="R33" i="3"/>
  <c r="B34" i="3"/>
  <c r="D34" i="3"/>
  <c r="F34" i="3"/>
  <c r="R34" i="3"/>
  <c r="B35" i="3"/>
  <c r="D35" i="3"/>
  <c r="E35" i="3"/>
  <c r="F35" i="3"/>
  <c r="R35" i="3"/>
  <c r="B36" i="3"/>
  <c r="D36" i="3"/>
  <c r="E36" i="3"/>
  <c r="F36" i="3"/>
  <c r="G36" i="3"/>
  <c r="H36" i="3"/>
  <c r="J36" i="3"/>
  <c r="K36" i="3"/>
  <c r="R36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B2" i="2"/>
  <c r="D2" i="2"/>
  <c r="E2" i="2"/>
  <c r="F2" i="2"/>
  <c r="R2" i="2"/>
  <c r="B3" i="2"/>
  <c r="D3" i="2"/>
  <c r="E3" i="2"/>
  <c r="F3" i="2"/>
  <c r="R3" i="2"/>
  <c r="B4" i="2"/>
  <c r="D4" i="2"/>
  <c r="E4" i="2"/>
  <c r="F4" i="2"/>
  <c r="O4" i="2"/>
  <c r="R4" i="2"/>
  <c r="B5" i="2"/>
  <c r="D5" i="2"/>
  <c r="E5" i="2"/>
  <c r="F5" i="2"/>
  <c r="R5" i="2"/>
  <c r="B6" i="2"/>
  <c r="D6" i="2"/>
  <c r="E6" i="2"/>
  <c r="F6" i="2"/>
  <c r="R6" i="2"/>
  <c r="B7" i="2"/>
  <c r="D7" i="2"/>
  <c r="E7" i="2"/>
  <c r="F7" i="2"/>
  <c r="R7" i="2"/>
  <c r="B8" i="2"/>
  <c r="D8" i="2"/>
  <c r="E8" i="2"/>
  <c r="F8" i="2"/>
  <c r="R8" i="2"/>
  <c r="B9" i="2"/>
  <c r="D9" i="2"/>
  <c r="F9" i="2"/>
  <c r="R9" i="2"/>
  <c r="B10" i="2"/>
  <c r="D10" i="2"/>
  <c r="E10" i="2"/>
  <c r="F10" i="2"/>
  <c r="R10" i="2"/>
  <c r="B11" i="2"/>
  <c r="D11" i="2"/>
  <c r="F11" i="2"/>
  <c r="R11" i="2"/>
  <c r="B12" i="2"/>
  <c r="D12" i="2"/>
  <c r="E12" i="2"/>
  <c r="F12" i="2"/>
  <c r="R12" i="2"/>
  <c r="B13" i="2"/>
  <c r="D13" i="2"/>
  <c r="F13" i="2"/>
  <c r="R13" i="2"/>
  <c r="B14" i="2"/>
  <c r="D14" i="2"/>
  <c r="E14" i="2"/>
  <c r="F14" i="2"/>
  <c r="R14" i="2"/>
  <c r="B15" i="2"/>
  <c r="D15" i="2"/>
  <c r="F15" i="2"/>
  <c r="R15" i="2"/>
  <c r="B16" i="2"/>
  <c r="D16" i="2"/>
  <c r="E16" i="2"/>
  <c r="F16" i="2"/>
  <c r="R16" i="2"/>
  <c r="B17" i="2"/>
  <c r="D17" i="2"/>
  <c r="E17" i="2"/>
  <c r="F17" i="2"/>
  <c r="R17" i="2"/>
  <c r="B18" i="2"/>
  <c r="D18" i="2"/>
  <c r="F18" i="2"/>
  <c r="R18" i="2"/>
  <c r="B19" i="2"/>
  <c r="D19" i="2"/>
  <c r="F19" i="2"/>
  <c r="R19" i="2"/>
  <c r="B20" i="2"/>
  <c r="D20" i="2"/>
  <c r="F20" i="2"/>
  <c r="R20" i="2"/>
  <c r="B21" i="2"/>
  <c r="D21" i="2"/>
  <c r="F21" i="2"/>
  <c r="R21" i="2"/>
  <c r="B22" i="2"/>
  <c r="D22" i="2"/>
  <c r="F22" i="2"/>
  <c r="R22" i="2"/>
  <c r="B23" i="2"/>
  <c r="D23" i="2"/>
  <c r="F23" i="2"/>
  <c r="R23" i="2"/>
  <c r="B24" i="2"/>
  <c r="D24" i="2"/>
  <c r="F24" i="2"/>
  <c r="R24" i="2"/>
  <c r="B25" i="2"/>
  <c r="D25" i="2"/>
  <c r="E25" i="2"/>
  <c r="F25" i="2"/>
  <c r="R25" i="2"/>
  <c r="B26" i="2"/>
  <c r="D26" i="2"/>
  <c r="F26" i="2"/>
  <c r="R26" i="2"/>
  <c r="B27" i="2"/>
  <c r="D27" i="2"/>
  <c r="F27" i="2"/>
  <c r="R27" i="2"/>
  <c r="B28" i="2"/>
  <c r="D28" i="2"/>
  <c r="E28" i="2"/>
  <c r="F28" i="2"/>
  <c r="R28" i="2"/>
  <c r="B29" i="2"/>
  <c r="D29" i="2"/>
  <c r="F29" i="2"/>
  <c r="R29" i="2"/>
  <c r="B30" i="2"/>
  <c r="D30" i="2"/>
  <c r="F30" i="2"/>
  <c r="R30" i="2"/>
  <c r="B31" i="2"/>
  <c r="D31" i="2"/>
  <c r="F31" i="2"/>
  <c r="R31" i="2"/>
  <c r="B32" i="2"/>
  <c r="D32" i="2"/>
  <c r="F32" i="2"/>
  <c r="R32" i="2"/>
  <c r="B33" i="2"/>
  <c r="D33" i="2"/>
  <c r="F33" i="2"/>
  <c r="R33" i="2"/>
  <c r="B34" i="2"/>
  <c r="D34" i="2"/>
  <c r="F34" i="2"/>
  <c r="R34" i="2"/>
  <c r="B35" i="2"/>
  <c r="D35" i="2"/>
  <c r="F35" i="2"/>
  <c r="R35" i="2"/>
  <c r="B36" i="2"/>
  <c r="D36" i="2"/>
  <c r="F36" i="2"/>
  <c r="R36" i="2"/>
  <c r="B37" i="2"/>
  <c r="D37" i="2"/>
  <c r="E37" i="2"/>
  <c r="F37" i="2"/>
  <c r="R37" i="2"/>
  <c r="B38" i="2"/>
  <c r="D38" i="2"/>
  <c r="F38" i="2"/>
  <c r="R38" i="2"/>
  <c r="B39" i="2"/>
  <c r="D39" i="2"/>
  <c r="F39" i="2"/>
  <c r="R39" i="2"/>
  <c r="B40" i="2"/>
  <c r="D40" i="2"/>
  <c r="E40" i="2"/>
  <c r="F40" i="2"/>
  <c r="R40" i="2"/>
  <c r="B41" i="2"/>
  <c r="D41" i="2"/>
  <c r="F41" i="2"/>
  <c r="R41" i="2"/>
  <c r="B42" i="2"/>
  <c r="D42" i="2"/>
  <c r="F42" i="2"/>
  <c r="R42" i="2"/>
  <c r="B43" i="2"/>
  <c r="D43" i="2"/>
  <c r="F43" i="2"/>
  <c r="R43" i="2"/>
  <c r="B44" i="2"/>
  <c r="D44" i="2"/>
  <c r="F44" i="2"/>
  <c r="R44" i="2"/>
  <c r="B45" i="2"/>
  <c r="D45" i="2"/>
  <c r="E45" i="2"/>
  <c r="F45" i="2"/>
  <c r="R45" i="2"/>
  <c r="B46" i="2"/>
  <c r="D46" i="2"/>
  <c r="F46" i="2"/>
  <c r="R46" i="2"/>
  <c r="B47" i="2"/>
  <c r="D47" i="2"/>
  <c r="F47" i="2"/>
  <c r="R47" i="2"/>
  <c r="B48" i="2"/>
  <c r="D48" i="2"/>
  <c r="E48" i="2"/>
  <c r="F48" i="2"/>
  <c r="R48" i="2"/>
  <c r="B49" i="2"/>
  <c r="D49" i="2"/>
  <c r="E49" i="2"/>
  <c r="F49" i="2"/>
  <c r="G49" i="2"/>
  <c r="H49" i="2"/>
  <c r="J49" i="2"/>
  <c r="K49" i="2"/>
  <c r="R49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B2" i="1"/>
  <c r="D2" i="1"/>
  <c r="E2" i="1"/>
  <c r="F2" i="1"/>
  <c r="R2" i="1"/>
  <c r="B3" i="1"/>
  <c r="D3" i="1"/>
  <c r="E3" i="1"/>
  <c r="F3" i="1"/>
  <c r="R3" i="1"/>
  <c r="B4" i="1"/>
  <c r="D4" i="1"/>
  <c r="E4" i="1"/>
  <c r="F4" i="1"/>
  <c r="R4" i="1"/>
  <c r="B5" i="1"/>
  <c r="D5" i="1"/>
  <c r="F5" i="1"/>
  <c r="R5" i="1"/>
  <c r="B6" i="1"/>
  <c r="D6" i="1"/>
  <c r="E6" i="1"/>
  <c r="F6" i="1"/>
  <c r="R6" i="1"/>
  <c r="B7" i="1"/>
  <c r="D7" i="1"/>
  <c r="F7" i="1"/>
  <c r="R7" i="1"/>
  <c r="B8" i="1"/>
  <c r="D8" i="1"/>
  <c r="E8" i="1"/>
  <c r="F8" i="1"/>
  <c r="R8" i="1"/>
  <c r="B9" i="1"/>
  <c r="D9" i="1"/>
  <c r="F9" i="1"/>
  <c r="R9" i="1"/>
  <c r="B10" i="1"/>
  <c r="D10" i="1"/>
  <c r="F10" i="1"/>
  <c r="R10" i="1"/>
  <c r="B11" i="1"/>
  <c r="D11" i="1"/>
  <c r="E11" i="1"/>
  <c r="F11" i="1"/>
  <c r="R11" i="1"/>
  <c r="B12" i="1"/>
  <c r="D12" i="1"/>
  <c r="E12" i="1"/>
  <c r="F12" i="1"/>
  <c r="R12" i="1"/>
  <c r="B13" i="1"/>
  <c r="D13" i="1"/>
  <c r="E13" i="1"/>
  <c r="F13" i="1"/>
  <c r="R13" i="1"/>
  <c r="B14" i="1"/>
  <c r="D14" i="1"/>
  <c r="F14" i="1"/>
  <c r="R14" i="1"/>
  <c r="B15" i="1"/>
  <c r="D15" i="1"/>
  <c r="F15" i="1"/>
  <c r="R15" i="1"/>
  <c r="B16" i="1"/>
  <c r="D16" i="1"/>
  <c r="F16" i="1"/>
  <c r="R16" i="1"/>
  <c r="B17" i="1"/>
  <c r="D17" i="1"/>
  <c r="E17" i="1"/>
  <c r="F17" i="1"/>
  <c r="R17" i="1"/>
  <c r="B18" i="1"/>
  <c r="D18" i="1"/>
  <c r="F18" i="1"/>
  <c r="R18" i="1"/>
  <c r="B19" i="1"/>
  <c r="D19" i="1"/>
  <c r="E19" i="1"/>
  <c r="F19" i="1"/>
  <c r="R19" i="1"/>
  <c r="B20" i="1"/>
  <c r="D20" i="1"/>
  <c r="F20" i="1"/>
  <c r="R20" i="1"/>
  <c r="B21" i="1"/>
  <c r="D21" i="1"/>
  <c r="F21" i="1"/>
  <c r="R21" i="1"/>
  <c r="B22" i="1"/>
  <c r="D22" i="1"/>
  <c r="F22" i="1"/>
  <c r="R22" i="1"/>
  <c r="B23" i="1"/>
  <c r="D23" i="1"/>
  <c r="F23" i="1"/>
  <c r="R23" i="1"/>
  <c r="B24" i="1"/>
  <c r="D24" i="1"/>
  <c r="F24" i="1"/>
  <c r="R24" i="1"/>
  <c r="B25" i="1"/>
  <c r="D25" i="1"/>
  <c r="F25" i="1"/>
  <c r="R25" i="1"/>
  <c r="B26" i="1"/>
  <c r="D26" i="1"/>
  <c r="F26" i="1"/>
  <c r="R26" i="1"/>
  <c r="B27" i="1"/>
  <c r="D27" i="1"/>
  <c r="F27" i="1"/>
  <c r="R27" i="1"/>
  <c r="B28" i="1"/>
  <c r="D28" i="1"/>
  <c r="F28" i="1"/>
  <c r="R28" i="1"/>
  <c r="B29" i="1"/>
  <c r="D29" i="1"/>
  <c r="F29" i="1"/>
  <c r="R29" i="1"/>
  <c r="B30" i="1"/>
  <c r="D30" i="1"/>
  <c r="F30" i="1"/>
  <c r="R30" i="1"/>
  <c r="B31" i="1"/>
  <c r="D31" i="1"/>
  <c r="F31" i="1"/>
  <c r="R31" i="1"/>
  <c r="B32" i="1"/>
  <c r="D32" i="1"/>
  <c r="E32" i="1"/>
  <c r="F32" i="1"/>
  <c r="R32" i="1"/>
  <c r="B33" i="1"/>
  <c r="D33" i="1"/>
  <c r="F33" i="1"/>
  <c r="R33" i="1"/>
  <c r="B34" i="1"/>
  <c r="D34" i="1"/>
  <c r="E34" i="1"/>
  <c r="F34" i="1"/>
  <c r="O34" i="1"/>
  <c r="R34" i="1"/>
  <c r="B35" i="1"/>
  <c r="D35" i="1"/>
  <c r="F35" i="1"/>
  <c r="R35" i="1"/>
  <c r="B36" i="1"/>
  <c r="D36" i="1"/>
  <c r="F36" i="1"/>
  <c r="R36" i="1"/>
  <c r="B37" i="1"/>
  <c r="D37" i="1"/>
  <c r="E37" i="1"/>
  <c r="F37" i="1"/>
  <c r="R37" i="1"/>
  <c r="B38" i="1"/>
  <c r="D38" i="1"/>
  <c r="E38" i="1"/>
  <c r="F38" i="1"/>
  <c r="G38" i="1"/>
  <c r="H38" i="1"/>
  <c r="J38" i="1"/>
  <c r="K38" i="1"/>
  <c r="R38" i="1"/>
</calcChain>
</file>

<file path=xl/sharedStrings.xml><?xml version="1.0" encoding="utf-8"?>
<sst xmlns="http://schemas.openxmlformats.org/spreadsheetml/2006/main" count="45" uniqueCount="1">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</sst>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3C760-D67C-4990-BFEB-246FCD7049DD}">
  <dimension ref="A1:R38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8554687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8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 t="shared" ref="B2:B38" si="0">"*Quality Dividend Strategy (*QDG)"</f>
        <v>*Quality Dividend Strategy (*QDG)</v>
      </c>
      <c r="C2" s="2">
        <v>4.0099999999999997E-2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88301.94</v>
      </c>
      <c r="J2">
        <v>328.26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3.0700000000000002E-2</v>
      </c>
      <c r="Q2" s="3">
        <v>39681.269999999997</v>
      </c>
      <c r="R2" t="str">
        <f>""</f>
        <v/>
      </c>
    </row>
    <row r="3" spans="1:18" x14ac:dyDescent="0.25">
      <c r="A3" s="1">
        <v>46175</v>
      </c>
      <c r="B3" t="str">
        <f t="shared" si="0"/>
        <v>*Quality Dividend Strategy (*QDG)</v>
      </c>
      <c r="C3" s="2">
        <v>4.5699999999999998E-2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100616.83</v>
      </c>
      <c r="J3" s="3">
        <v>1705.37</v>
      </c>
      <c r="K3">
        <v>732.76</v>
      </c>
      <c r="L3" s="3">
        <v>43232.79</v>
      </c>
      <c r="M3">
        <v>440.6</v>
      </c>
      <c r="N3">
        <v>958.91</v>
      </c>
      <c r="O3" s="2">
        <v>1.0200000000000001E-2</v>
      </c>
      <c r="P3" s="2">
        <v>4.4000000000000003E-3</v>
      </c>
      <c r="Q3" s="3">
        <v>57384.04</v>
      </c>
      <c r="R3" t="str">
        <f>""</f>
        <v/>
      </c>
    </row>
    <row r="4" spans="1:18" x14ac:dyDescent="0.25">
      <c r="A4" s="1">
        <v>46175</v>
      </c>
      <c r="B4" t="str">
        <f t="shared" si="0"/>
        <v>*Quality Dividend Strategy (*QDG)</v>
      </c>
      <c r="C4" s="2">
        <v>3.4200000000000001E-2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75292.25</v>
      </c>
      <c r="J4">
        <v>72.05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3.9E-2</v>
      </c>
      <c r="Q4" s="3">
        <v>12316.9</v>
      </c>
      <c r="R4" t="str">
        <f>""</f>
        <v/>
      </c>
    </row>
    <row r="5" spans="1:18" x14ac:dyDescent="0.25">
      <c r="A5" s="1">
        <v>46175</v>
      </c>
      <c r="B5" t="str">
        <f t="shared" si="0"/>
        <v>*Quality Dividend Strategy (*QDG)</v>
      </c>
      <c r="C5" s="2">
        <v>3.6600000000000001E-2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80458.95</v>
      </c>
      <c r="J5">
        <v>187.55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3.7999999999999999E-2</v>
      </c>
      <c r="Q5" s="3">
        <v>40715.760000000002</v>
      </c>
      <c r="R5" t="str">
        <f>""</f>
        <v/>
      </c>
    </row>
    <row r="6" spans="1:18" x14ac:dyDescent="0.25">
      <c r="A6" s="1">
        <v>46175</v>
      </c>
      <c r="B6" t="str">
        <f t="shared" si="0"/>
        <v>*Quality Dividend Strategy (*QDG)</v>
      </c>
      <c r="C6" s="2">
        <v>4.99E-2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109824</v>
      </c>
      <c r="J6">
        <v>128</v>
      </c>
      <c r="K6">
        <v>18.03</v>
      </c>
      <c r="L6" s="3">
        <v>15468.72</v>
      </c>
      <c r="M6" s="3">
        <v>1441.44</v>
      </c>
      <c r="N6" s="3">
        <v>15592.26</v>
      </c>
      <c r="O6" s="2">
        <v>9.3200000000000005E-2</v>
      </c>
      <c r="P6" s="2">
        <v>1.3100000000000001E-2</v>
      </c>
      <c r="Q6" s="3">
        <v>94355.28</v>
      </c>
      <c r="R6" t="str">
        <f>""</f>
        <v/>
      </c>
    </row>
    <row r="7" spans="1:18" x14ac:dyDescent="0.25">
      <c r="A7" s="1">
        <v>46175</v>
      </c>
      <c r="B7" t="str">
        <f t="shared" si="0"/>
        <v>*Quality Dividend Strategy (*QDG)</v>
      </c>
      <c r="C7" s="2">
        <v>1.52E-2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33431.99</v>
      </c>
      <c r="J7">
        <v>89.63</v>
      </c>
      <c r="K7">
        <v>97.35</v>
      </c>
      <c r="L7" s="3">
        <v>36311.550000000003</v>
      </c>
      <c r="M7" s="3">
        <v>1850.08</v>
      </c>
      <c r="N7">
        <v>925.04</v>
      </c>
      <c r="O7" s="2">
        <v>5.0999999999999997E-2</v>
      </c>
      <c r="P7" s="2">
        <v>5.5300000000000002E-2</v>
      </c>
      <c r="Q7" s="3">
        <v>-2879.56</v>
      </c>
      <c r="R7" t="str">
        <f>""</f>
        <v/>
      </c>
    </row>
    <row r="8" spans="1:18" x14ac:dyDescent="0.25">
      <c r="A8" s="1">
        <v>46175</v>
      </c>
      <c r="B8" t="str">
        <f t="shared" si="0"/>
        <v>*Quality Dividend Strategy (*QDG)</v>
      </c>
      <c r="C8" s="2">
        <v>2.9899999999999999E-2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65889.39</v>
      </c>
      <c r="J8">
        <v>250.53</v>
      </c>
      <c r="K8">
        <v>203.65</v>
      </c>
      <c r="L8" s="3">
        <v>53558.94</v>
      </c>
      <c r="M8" s="3">
        <v>2958.75</v>
      </c>
      <c r="N8" s="3">
        <v>5329.9</v>
      </c>
      <c r="O8" s="2">
        <v>5.5199999999999999E-2</v>
      </c>
      <c r="P8" s="2">
        <v>4.4900000000000002E-2</v>
      </c>
      <c r="Q8" s="3">
        <v>12330.45</v>
      </c>
      <c r="R8" t="str">
        <f>""</f>
        <v/>
      </c>
    </row>
    <row r="9" spans="1:18" x14ac:dyDescent="0.25">
      <c r="A9" s="1">
        <v>46175</v>
      </c>
      <c r="B9" t="str">
        <f t="shared" si="0"/>
        <v>*Quality Dividend Strategy (*QDG)</v>
      </c>
      <c r="C9" s="2">
        <v>2.2599999999999999E-2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49703.32</v>
      </c>
      <c r="J9">
        <v>108.76</v>
      </c>
      <c r="K9">
        <v>47.09</v>
      </c>
      <c r="L9" s="3">
        <v>21519.25</v>
      </c>
      <c r="M9" s="3">
        <v>1679.8</v>
      </c>
      <c r="N9" s="3">
        <v>8855.6200000000008</v>
      </c>
      <c r="O9" s="2">
        <v>7.8100000000000003E-2</v>
      </c>
      <c r="P9" s="2">
        <v>3.3799999999999997E-2</v>
      </c>
      <c r="Q9" s="3">
        <v>28184.07</v>
      </c>
      <c r="R9" t="str">
        <f>""</f>
        <v/>
      </c>
    </row>
    <row r="10" spans="1:18" x14ac:dyDescent="0.25">
      <c r="A10" s="1">
        <v>46175</v>
      </c>
      <c r="B10" t="str">
        <f t="shared" si="0"/>
        <v>*Quality Dividend Strategy (*QDG)</v>
      </c>
      <c r="C10" s="2">
        <v>3.4500000000000003E-2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76037.94</v>
      </c>
      <c r="J10">
        <v>135.54</v>
      </c>
      <c r="K10">
        <v>79.069999999999993</v>
      </c>
      <c r="L10" s="3">
        <v>44360.79</v>
      </c>
      <c r="M10" s="3">
        <v>2311.3200000000002</v>
      </c>
      <c r="N10" s="3">
        <v>8068.01</v>
      </c>
      <c r="O10" s="2">
        <v>5.21E-2</v>
      </c>
      <c r="P10" s="2">
        <v>3.04E-2</v>
      </c>
      <c r="Q10" s="3">
        <v>31677.15</v>
      </c>
      <c r="R10" t="str">
        <f>""</f>
        <v/>
      </c>
    </row>
    <row r="11" spans="1:18" x14ac:dyDescent="0.25">
      <c r="A11" s="1">
        <v>46175</v>
      </c>
      <c r="B11" t="str">
        <f t="shared" si="0"/>
        <v>*Quality Dividend Strategy (*QDG)</v>
      </c>
      <c r="C11" s="2">
        <v>2.46E-2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54077.4</v>
      </c>
      <c r="J11">
        <v>46.22</v>
      </c>
      <c r="K11">
        <v>41.25</v>
      </c>
      <c r="L11" s="3">
        <v>48261.72</v>
      </c>
      <c r="M11" s="3">
        <v>1216.8</v>
      </c>
      <c r="N11" s="3">
        <v>2556.09</v>
      </c>
      <c r="O11" s="2">
        <v>2.52E-2</v>
      </c>
      <c r="P11" s="2">
        <v>2.2499999999999999E-2</v>
      </c>
      <c r="Q11" s="3">
        <v>5815.68</v>
      </c>
      <c r="R11" t="str">
        <f>""</f>
        <v/>
      </c>
    </row>
    <row r="12" spans="1:18" x14ac:dyDescent="0.25">
      <c r="A12" s="1">
        <v>46175</v>
      </c>
      <c r="B12" t="str">
        <f t="shared" si="0"/>
        <v>*Quality Dividend Strategy (*QDG)</v>
      </c>
      <c r="C12" s="2">
        <v>1.8100000000000002E-2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39919.599999999999</v>
      </c>
      <c r="J12">
        <v>107.6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2.3800000000000002E-2</v>
      </c>
      <c r="Q12" s="3">
        <v>23222.48</v>
      </c>
      <c r="R12" t="str">
        <f>""</f>
        <v/>
      </c>
    </row>
    <row r="13" spans="1:18" x14ac:dyDescent="0.25">
      <c r="A13" s="1">
        <v>46175</v>
      </c>
      <c r="B13" t="str">
        <f t="shared" si="0"/>
        <v>*Quality Dividend Strategy (*QDG)</v>
      </c>
      <c r="C13" s="2">
        <v>3.2099999999999997E-2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70741.88</v>
      </c>
      <c r="J13">
        <v>149.56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2.75E-2</v>
      </c>
      <c r="Q13" s="3">
        <v>52105.57</v>
      </c>
      <c r="R13" t="str">
        <f>""</f>
        <v/>
      </c>
    </row>
    <row r="14" spans="1:18" x14ac:dyDescent="0.25">
      <c r="A14" s="1">
        <v>46175</v>
      </c>
      <c r="B14" t="str">
        <f t="shared" si="0"/>
        <v>*Quality Dividend Strategy (*QDG)</v>
      </c>
      <c r="C14" s="2">
        <v>2.9899999999999999E-2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65833.95</v>
      </c>
      <c r="J14">
        <v>337.61</v>
      </c>
      <c r="K14">
        <v>176.46</v>
      </c>
      <c r="L14" s="3">
        <v>34408.94</v>
      </c>
      <c r="M14" s="3">
        <v>1240.2</v>
      </c>
      <c r="N14" s="3">
        <v>6256.39</v>
      </c>
      <c r="O14" s="2">
        <v>3.5999999999999997E-2</v>
      </c>
      <c r="P14" s="2">
        <v>1.8800000000000001E-2</v>
      </c>
      <c r="Q14" s="3">
        <v>31425.01</v>
      </c>
      <c r="R14" t="str">
        <f>""</f>
        <v/>
      </c>
    </row>
    <row r="15" spans="1:18" x14ac:dyDescent="0.25">
      <c r="A15" s="1">
        <v>46175</v>
      </c>
      <c r="B15" t="str">
        <f t="shared" si="0"/>
        <v>*Quality Dividend Strategy (*QDG)</v>
      </c>
      <c r="C15" s="2">
        <v>1.23E-2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27102.240000000002</v>
      </c>
      <c r="J15">
        <v>311.52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2.9899999999999999E-2</v>
      </c>
      <c r="Q15">
        <v>819.9</v>
      </c>
      <c r="R15" t="str">
        <f>""</f>
        <v/>
      </c>
    </row>
    <row r="16" spans="1:18" x14ac:dyDescent="0.25">
      <c r="A16" s="1">
        <v>46175</v>
      </c>
      <c r="B16" t="str">
        <f t="shared" si="0"/>
        <v>*Quality Dividend Strategy (*QDG)</v>
      </c>
      <c r="C16" s="2">
        <v>3.3099999999999997E-2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72885.03</v>
      </c>
      <c r="J16">
        <v>222.89</v>
      </c>
      <c r="K16">
        <v>65.91</v>
      </c>
      <c r="L16" s="3">
        <v>21552.95</v>
      </c>
      <c r="M16" s="3">
        <v>1752.72</v>
      </c>
      <c r="N16" s="3">
        <v>19299.759999999998</v>
      </c>
      <c r="O16" s="2">
        <v>8.1299999999999997E-2</v>
      </c>
      <c r="P16" s="2">
        <v>2.4E-2</v>
      </c>
      <c r="Q16" s="3">
        <v>51332.08</v>
      </c>
      <c r="R16" t="str">
        <f>""</f>
        <v/>
      </c>
    </row>
    <row r="17" spans="1:18" x14ac:dyDescent="0.25">
      <c r="A17" s="1">
        <v>46175</v>
      </c>
      <c r="B17" t="str">
        <f t="shared" si="0"/>
        <v>*Quality Dividend Strategy (*QDG)</v>
      </c>
      <c r="C17" s="2">
        <v>2.5600000000000001E-2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56279.519999999997</v>
      </c>
      <c r="J17">
        <v>300.95999999999998</v>
      </c>
      <c r="K17">
        <v>105.38</v>
      </c>
      <c r="L17" s="3">
        <v>19706.57</v>
      </c>
      <c r="M17" s="3">
        <v>1122</v>
      </c>
      <c r="N17" s="3">
        <v>11689.22</v>
      </c>
      <c r="O17" s="2">
        <v>5.6899999999999999E-2</v>
      </c>
      <c r="P17" s="2">
        <v>1.9900000000000001E-2</v>
      </c>
      <c r="Q17" s="3">
        <v>36572.949999999997</v>
      </c>
      <c r="R17" t="str">
        <f>""</f>
        <v/>
      </c>
    </row>
    <row r="18" spans="1:18" x14ac:dyDescent="0.25">
      <c r="A18" s="1">
        <v>46175</v>
      </c>
      <c r="B18" t="str">
        <f t="shared" si="0"/>
        <v>*Quality Dividend Strategy (*QDG)</v>
      </c>
      <c r="C18" s="2">
        <v>1.09E-2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24090.3</v>
      </c>
      <c r="J18">
        <v>46.15</v>
      </c>
      <c r="K18">
        <v>67.069999999999993</v>
      </c>
      <c r="L18" s="3">
        <v>35012.61</v>
      </c>
      <c r="M18" s="3">
        <v>1002.24</v>
      </c>
      <c r="N18">
        <v>503.04</v>
      </c>
      <c r="O18" s="2">
        <v>2.86E-2</v>
      </c>
      <c r="P18" s="2">
        <v>4.1599999999999998E-2</v>
      </c>
      <c r="Q18" s="3">
        <v>-10922.31</v>
      </c>
      <c r="R18" t="str">
        <f>""</f>
        <v/>
      </c>
    </row>
    <row r="19" spans="1:18" x14ac:dyDescent="0.25">
      <c r="A19" s="1">
        <v>46175</v>
      </c>
      <c r="B19" t="str">
        <f t="shared" si="0"/>
        <v>*Quality Dividend Strategy (*QDG)</v>
      </c>
      <c r="C19" s="2">
        <v>1.8599999999999998E-2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40931.25</v>
      </c>
      <c r="J19">
        <v>73.75</v>
      </c>
      <c r="K19">
        <v>93.69</v>
      </c>
      <c r="L19" s="3">
        <v>52000.25</v>
      </c>
      <c r="M19" s="3">
        <v>1576.2</v>
      </c>
      <c r="N19" s="3">
        <v>7281.68</v>
      </c>
      <c r="O19" s="2">
        <v>3.0300000000000001E-2</v>
      </c>
      <c r="P19" s="2">
        <v>3.85E-2</v>
      </c>
      <c r="Q19" s="3">
        <v>-11069</v>
      </c>
      <c r="R19" t="str">
        <f>""</f>
        <v/>
      </c>
    </row>
    <row r="20" spans="1:18" x14ac:dyDescent="0.25">
      <c r="A20" s="1">
        <v>46175</v>
      </c>
      <c r="B20" t="str">
        <f t="shared" si="0"/>
        <v>*Quality Dividend Strategy (*QDG)</v>
      </c>
      <c r="C20" s="2">
        <v>2.7699999999999999E-2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60900.78</v>
      </c>
      <c r="J20">
        <v>441.31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8.2000000000000007E-3</v>
      </c>
      <c r="Q20" s="3">
        <v>57402.48</v>
      </c>
      <c r="R20" t="str">
        <f>""</f>
        <v/>
      </c>
    </row>
    <row r="21" spans="1:18" x14ac:dyDescent="0.25">
      <c r="A21" s="1">
        <v>46175</v>
      </c>
      <c r="B21" t="str">
        <f t="shared" si="0"/>
        <v>*Quality Dividend Strategy (*QDG)</v>
      </c>
      <c r="C21" s="2">
        <v>1.14E-2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25144.75</v>
      </c>
      <c r="J21">
        <v>43.73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3.7499999999999999E-2</v>
      </c>
      <c r="Q21" s="3">
        <v>-18185.8</v>
      </c>
      <c r="R21" t="str">
        <f>""</f>
        <v/>
      </c>
    </row>
    <row r="22" spans="1:18" x14ac:dyDescent="0.25">
      <c r="A22" s="1">
        <v>46175</v>
      </c>
      <c r="B22" t="str">
        <f t="shared" si="0"/>
        <v>*Quality Dividend Strategy (*QDG)</v>
      </c>
      <c r="C22" s="2">
        <v>2.12E-2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46654.04</v>
      </c>
      <c r="J22">
        <v>42.92</v>
      </c>
      <c r="K22">
        <v>76.02</v>
      </c>
      <c r="L22" s="3">
        <v>82634.83</v>
      </c>
      <c r="M22" s="3">
        <v>1397.05</v>
      </c>
      <c r="N22" s="3">
        <v>2739.96</v>
      </c>
      <c r="O22" s="2">
        <v>1.6899999999999998E-2</v>
      </c>
      <c r="P22" s="2">
        <v>2.9899999999999999E-2</v>
      </c>
      <c r="Q22" s="3">
        <v>-35980.79</v>
      </c>
      <c r="R22" t="str">
        <f>""</f>
        <v/>
      </c>
    </row>
    <row r="23" spans="1:18" x14ac:dyDescent="0.25">
      <c r="A23" s="1">
        <v>46175</v>
      </c>
      <c r="B23" t="str">
        <f t="shared" si="0"/>
        <v>*Quality Dividend Strategy (*QDG)</v>
      </c>
      <c r="C23" s="2">
        <v>1.95E-2</v>
      </c>
      <c r="D23" t="str">
        <f>"PAYX"</f>
        <v>PAYX</v>
      </c>
      <c r="E23">
        <v>704326107</v>
      </c>
      <c r="F23" t="str">
        <f>"Paychex"</f>
        <v>Paychex</v>
      </c>
      <c r="G23">
        <v>426</v>
      </c>
      <c r="H23" s="1">
        <v>46147</v>
      </c>
      <c r="I23" s="3">
        <v>42936.54</v>
      </c>
      <c r="J23">
        <v>100.79</v>
      </c>
      <c r="K23">
        <v>92.06</v>
      </c>
      <c r="L23" s="3">
        <v>39216.19</v>
      </c>
      <c r="M23" s="3">
        <v>2027.76</v>
      </c>
      <c r="N23">
        <v>0</v>
      </c>
      <c r="O23" s="2">
        <v>5.1700000000000003E-2</v>
      </c>
      <c r="P23" s="2">
        <v>4.7199999999999999E-2</v>
      </c>
      <c r="Q23" s="3">
        <v>3720.35</v>
      </c>
      <c r="R23" t="str">
        <f>""</f>
        <v/>
      </c>
    </row>
    <row r="24" spans="1:18" x14ac:dyDescent="0.25">
      <c r="A24" s="1">
        <v>46175</v>
      </c>
      <c r="B24" t="str">
        <f t="shared" si="0"/>
        <v>*Quality Dividend Strategy (*QDG)</v>
      </c>
      <c r="C24" s="2">
        <v>2.1399999999999999E-2</v>
      </c>
      <c r="D24" t="str">
        <f>"PEP"</f>
        <v>PEP</v>
      </c>
      <c r="E24">
        <v>713448108</v>
      </c>
      <c r="F24" t="str">
        <f>"Pepsi"</f>
        <v>Pepsi</v>
      </c>
      <c r="G24">
        <v>331</v>
      </c>
      <c r="H24" s="1">
        <v>43258</v>
      </c>
      <c r="I24" s="3">
        <v>47002</v>
      </c>
      <c r="J24">
        <v>142</v>
      </c>
      <c r="K24">
        <v>123.9</v>
      </c>
      <c r="L24" s="3">
        <v>41010.42</v>
      </c>
      <c r="M24" s="3">
        <v>1959.52</v>
      </c>
      <c r="N24" s="3">
        <v>6584.49</v>
      </c>
      <c r="O24" s="2">
        <v>4.7800000000000002E-2</v>
      </c>
      <c r="P24" s="2">
        <v>4.1700000000000001E-2</v>
      </c>
      <c r="Q24" s="3">
        <v>5991.58</v>
      </c>
      <c r="R24" t="str">
        <f>""</f>
        <v/>
      </c>
    </row>
    <row r="25" spans="1:18" x14ac:dyDescent="0.25">
      <c r="A25" s="1">
        <v>46175</v>
      </c>
      <c r="B25" t="str">
        <f t="shared" si="0"/>
        <v>*Quality Dividend Strategy (*QDG)</v>
      </c>
      <c r="C25" s="2">
        <v>1.7500000000000002E-2</v>
      </c>
      <c r="D25" t="str">
        <f>"PFE"</f>
        <v>PFE</v>
      </c>
      <c r="E25">
        <v>717081103</v>
      </c>
      <c r="F25" t="str">
        <f>"Pfizer"</f>
        <v>Pfizer</v>
      </c>
      <c r="G25" s="3">
        <v>1504</v>
      </c>
      <c r="H25" s="1">
        <v>40346</v>
      </c>
      <c r="I25" s="3">
        <v>38427.199999999997</v>
      </c>
      <c r="J25">
        <v>25.55</v>
      </c>
      <c r="K25">
        <v>28.44</v>
      </c>
      <c r="L25" s="3">
        <v>42768.72</v>
      </c>
      <c r="M25" s="3">
        <v>2586.88</v>
      </c>
      <c r="N25" s="3">
        <v>23941.32</v>
      </c>
      <c r="O25" s="2">
        <v>6.0499999999999998E-2</v>
      </c>
      <c r="P25" s="2">
        <v>6.7299999999999999E-2</v>
      </c>
      <c r="Q25" s="3">
        <v>-4341.5200000000004</v>
      </c>
      <c r="R25" t="str">
        <f>""</f>
        <v/>
      </c>
    </row>
    <row r="26" spans="1:18" x14ac:dyDescent="0.25">
      <c r="A26" s="1">
        <v>46175</v>
      </c>
      <c r="B26" t="str">
        <f t="shared" si="0"/>
        <v>*Quality Dividend Strategy (*QDG)</v>
      </c>
      <c r="C26" s="2">
        <v>1.7600000000000001E-2</v>
      </c>
      <c r="D26" t="str">
        <f>"PSX"</f>
        <v>PSX</v>
      </c>
      <c r="E26">
        <v>718546104</v>
      </c>
      <c r="F26" t="str">
        <f>"Phillips 66"</f>
        <v>Phillips 66</v>
      </c>
      <c r="G26">
        <v>212</v>
      </c>
      <c r="H26" s="1">
        <v>44701</v>
      </c>
      <c r="I26" s="3">
        <v>38702.720000000001</v>
      </c>
      <c r="J26">
        <v>182.56</v>
      </c>
      <c r="K26">
        <v>93.14</v>
      </c>
      <c r="L26" s="3">
        <v>19744.66</v>
      </c>
      <c r="M26" s="3">
        <v>1076.96</v>
      </c>
      <c r="N26" s="3">
        <v>5014.66</v>
      </c>
      <c r="O26" s="2">
        <v>5.45E-2</v>
      </c>
      <c r="P26" s="2">
        <v>2.7799999999999998E-2</v>
      </c>
      <c r="Q26" s="3">
        <v>18958.060000000001</v>
      </c>
      <c r="R26" t="str">
        <f>""</f>
        <v/>
      </c>
    </row>
    <row r="27" spans="1:18" x14ac:dyDescent="0.25">
      <c r="A27" s="1">
        <v>46175</v>
      </c>
      <c r="B27" t="str">
        <f t="shared" si="0"/>
        <v>*Quality Dividend Strategy (*QDG)</v>
      </c>
      <c r="C27" s="2">
        <v>2.1100000000000001E-2</v>
      </c>
      <c r="D27" t="str">
        <f>"POR"</f>
        <v>POR</v>
      </c>
      <c r="E27">
        <v>736508847</v>
      </c>
      <c r="F27" t="str">
        <f>"Portland General Electric Co"</f>
        <v>Portland General Electric Co</v>
      </c>
      <c r="G27">
        <v>938</v>
      </c>
      <c r="H27" s="1">
        <v>45867</v>
      </c>
      <c r="I27" s="3">
        <v>46421.62</v>
      </c>
      <c r="J27">
        <v>49.49</v>
      </c>
      <c r="K27">
        <v>41.4</v>
      </c>
      <c r="L27" s="3">
        <v>38829.83</v>
      </c>
      <c r="M27" s="3">
        <v>2068.29</v>
      </c>
      <c r="N27" s="3">
        <v>1477.37</v>
      </c>
      <c r="O27" s="2">
        <v>5.33E-2</v>
      </c>
      <c r="P27" s="2">
        <v>4.4600000000000001E-2</v>
      </c>
      <c r="Q27" s="3">
        <v>7591.79</v>
      </c>
      <c r="R27" t="str">
        <f>""</f>
        <v/>
      </c>
    </row>
    <row r="28" spans="1:18" x14ac:dyDescent="0.25">
      <c r="A28" s="1">
        <v>46175</v>
      </c>
      <c r="B28" t="str">
        <f t="shared" si="0"/>
        <v>*Quality Dividend Strategy (*QDG)</v>
      </c>
      <c r="C28" s="2">
        <v>2.8000000000000001E-2</v>
      </c>
      <c r="D28" t="str">
        <f>"PG"</f>
        <v>PG</v>
      </c>
      <c r="E28">
        <v>742718109</v>
      </c>
      <c r="F28" t="str">
        <f>"Procter &amp; Gamble"</f>
        <v>Procter &amp; Gamble</v>
      </c>
      <c r="G28">
        <v>437</v>
      </c>
      <c r="H28" s="1">
        <v>43140</v>
      </c>
      <c r="I28" s="3">
        <v>61538.34</v>
      </c>
      <c r="J28">
        <v>140.82</v>
      </c>
      <c r="K28">
        <v>101.06</v>
      </c>
      <c r="L28" s="3">
        <v>44161.29</v>
      </c>
      <c r="M28" s="3">
        <v>1902.7</v>
      </c>
      <c r="N28" s="3">
        <v>10047.57</v>
      </c>
      <c r="O28" s="2">
        <v>4.3099999999999999E-2</v>
      </c>
      <c r="P28" s="2">
        <v>3.09E-2</v>
      </c>
      <c r="Q28" s="3">
        <v>17377.05</v>
      </c>
      <c r="R28" t="str">
        <f>""</f>
        <v/>
      </c>
    </row>
    <row r="29" spans="1:18" x14ac:dyDescent="0.25">
      <c r="A29" s="1">
        <v>46175</v>
      </c>
      <c r="B29" t="str">
        <f t="shared" si="0"/>
        <v>*Quality Dividend Strategy (*QDG)</v>
      </c>
      <c r="C29" s="2">
        <v>1.9900000000000001E-2</v>
      </c>
      <c r="D29" t="str">
        <f>"PEG"</f>
        <v>PEG</v>
      </c>
      <c r="E29">
        <v>744573106</v>
      </c>
      <c r="F29" t="str">
        <f>"Public Service Enterprise Group"</f>
        <v>Public Service Enterprise Group</v>
      </c>
      <c r="G29">
        <v>560</v>
      </c>
      <c r="H29" s="1">
        <v>46175</v>
      </c>
      <c r="I29" s="3">
        <v>43859.199999999997</v>
      </c>
      <c r="J29">
        <v>78.319999999999993</v>
      </c>
      <c r="K29">
        <v>78.03</v>
      </c>
      <c r="L29" s="3">
        <v>43696.800000000003</v>
      </c>
      <c r="M29" s="3">
        <v>1500.8</v>
      </c>
      <c r="N29">
        <v>0</v>
      </c>
      <c r="O29" s="2">
        <v>3.4299999999999997E-2</v>
      </c>
      <c r="P29" s="2">
        <v>3.4200000000000001E-2</v>
      </c>
      <c r="Q29">
        <v>162.4</v>
      </c>
      <c r="R29" t="str">
        <f>""</f>
        <v/>
      </c>
    </row>
    <row r="30" spans="1:18" x14ac:dyDescent="0.25">
      <c r="A30" s="1">
        <v>46175</v>
      </c>
      <c r="B30" t="str">
        <f t="shared" si="0"/>
        <v>*Quality Dividend Strategy (*QDG)</v>
      </c>
      <c r="C30" s="2">
        <v>2.35E-2</v>
      </c>
      <c r="D30" t="str">
        <f>"O"</f>
        <v>O</v>
      </c>
      <c r="E30">
        <v>756109104</v>
      </c>
      <c r="F30" t="str">
        <f>"Realty Income"</f>
        <v>Realty Income</v>
      </c>
      <c r="G30">
        <v>864</v>
      </c>
      <c r="H30" s="1">
        <v>45362</v>
      </c>
      <c r="I30" s="3">
        <v>51762.239999999998</v>
      </c>
      <c r="J30">
        <v>59.91</v>
      </c>
      <c r="K30">
        <v>55.5</v>
      </c>
      <c r="L30" s="3">
        <v>47950.87</v>
      </c>
      <c r="M30" s="3">
        <v>2804.54</v>
      </c>
      <c r="N30" s="3">
        <v>5662.33</v>
      </c>
      <c r="O30" s="2">
        <v>5.8500000000000003E-2</v>
      </c>
      <c r="P30" s="2">
        <v>5.4199999999999998E-2</v>
      </c>
      <c r="Q30" s="3">
        <v>3811.37</v>
      </c>
      <c r="R30" t="str">
        <f>""</f>
        <v/>
      </c>
    </row>
    <row r="31" spans="1:18" x14ac:dyDescent="0.25">
      <c r="A31" s="1">
        <v>46175</v>
      </c>
      <c r="B31" t="str">
        <f t="shared" si="0"/>
        <v>*Quality Dividend Strategy (*QDG)</v>
      </c>
      <c r="C31" s="2">
        <v>2.3699999999999999E-2</v>
      </c>
      <c r="D31" t="str">
        <f>"RGA"</f>
        <v>RGA</v>
      </c>
      <c r="E31">
        <v>759351604</v>
      </c>
      <c r="F31" t="str">
        <f>"Reinsurance Group of America"</f>
        <v>Reinsurance Group of America</v>
      </c>
      <c r="G31">
        <v>263</v>
      </c>
      <c r="H31" s="1">
        <v>45582</v>
      </c>
      <c r="I31" s="3">
        <v>52171.31</v>
      </c>
      <c r="J31">
        <v>198.37</v>
      </c>
      <c r="K31">
        <v>220.6</v>
      </c>
      <c r="L31" s="3">
        <v>58016.86</v>
      </c>
      <c r="M31">
        <v>978.36</v>
      </c>
      <c r="N31" s="3">
        <v>1133.97</v>
      </c>
      <c r="O31" s="2">
        <v>1.6899999999999998E-2</v>
      </c>
      <c r="P31" s="2">
        <v>1.8800000000000001E-2</v>
      </c>
      <c r="Q31" s="3">
        <v>-5845.55</v>
      </c>
      <c r="R31" t="str">
        <f>""</f>
        <v/>
      </c>
    </row>
    <row r="32" spans="1:18" x14ac:dyDescent="0.25">
      <c r="A32" s="1">
        <v>46175</v>
      </c>
      <c r="B32" t="str">
        <f t="shared" si="0"/>
        <v>*Quality Dividend Strategy (*QDG)</v>
      </c>
      <c r="C32" s="2">
        <v>2.0199999999999999E-2</v>
      </c>
      <c r="D32" t="str">
        <f>"TROW"</f>
        <v>TROW</v>
      </c>
      <c r="E32" t="str">
        <f>"74144T108"</f>
        <v>74144T108</v>
      </c>
      <c r="F32" t="str">
        <f>"T. Rowe Price"</f>
        <v>T. Rowe Price</v>
      </c>
      <c r="G32">
        <v>426</v>
      </c>
      <c r="H32" s="1">
        <v>44929</v>
      </c>
      <c r="I32" s="3">
        <v>44436.06</v>
      </c>
      <c r="J32">
        <v>104.31</v>
      </c>
      <c r="K32">
        <v>111.82</v>
      </c>
      <c r="L32" s="3">
        <v>47635.040000000001</v>
      </c>
      <c r="M32" s="3">
        <v>2215.1999999999998</v>
      </c>
      <c r="N32" s="3">
        <v>6605.94</v>
      </c>
      <c r="O32" s="2">
        <v>4.65E-2</v>
      </c>
      <c r="P32" s="2">
        <v>4.99E-2</v>
      </c>
      <c r="Q32" s="3">
        <v>-3198.98</v>
      </c>
      <c r="R32" t="str">
        <f>""</f>
        <v/>
      </c>
    </row>
    <row r="33" spans="1:18" x14ac:dyDescent="0.25">
      <c r="A33" s="1">
        <v>46175</v>
      </c>
      <c r="B33" t="str">
        <f t="shared" si="0"/>
        <v>*Quality Dividend Strategy (*QDG)</v>
      </c>
      <c r="C33" s="2">
        <v>4.19E-2</v>
      </c>
      <c r="D33" t="str">
        <f>"TXN"</f>
        <v>TXN</v>
      </c>
      <c r="E33">
        <v>882508104</v>
      </c>
      <c r="F33" t="str">
        <f>"Texas Instruments"</f>
        <v>Texas Instruments</v>
      </c>
      <c r="G33">
        <v>299</v>
      </c>
      <c r="H33" s="1">
        <v>41079</v>
      </c>
      <c r="I33" s="3">
        <v>92127.88</v>
      </c>
      <c r="J33">
        <v>308.12</v>
      </c>
      <c r="K33">
        <v>50.62</v>
      </c>
      <c r="L33" s="3">
        <v>15136.68</v>
      </c>
      <c r="M33" s="3">
        <v>1698.32</v>
      </c>
      <c r="N33" s="3">
        <v>14383.13</v>
      </c>
      <c r="O33" s="2">
        <v>0.11219999999999999</v>
      </c>
      <c r="P33" s="2">
        <v>1.84E-2</v>
      </c>
      <c r="Q33" s="3">
        <v>76991.199999999997</v>
      </c>
      <c r="R33" t="str">
        <f>""</f>
        <v/>
      </c>
    </row>
    <row r="34" spans="1:18" x14ac:dyDescent="0.25">
      <c r="A34" s="1">
        <v>46175</v>
      </c>
      <c r="B34" t="str">
        <f t="shared" si="0"/>
        <v>*Quality Dividend Strategy (*QDG)</v>
      </c>
      <c r="C34" s="2">
        <v>2.2599999999999999E-2</v>
      </c>
      <c r="D34" t="str">
        <f>"TTE"</f>
        <v>TTE</v>
      </c>
      <c r="E34" t="str">
        <f>"F92124100"</f>
        <v>F92124100</v>
      </c>
      <c r="F34" t="str">
        <f>"Total SA"</f>
        <v>Total SA</v>
      </c>
      <c r="G34">
        <v>556</v>
      </c>
      <c r="H34" s="1">
        <v>43874</v>
      </c>
      <c r="I34" s="3">
        <v>49706.400000000001</v>
      </c>
      <c r="J34">
        <v>89.4</v>
      </c>
      <c r="K34">
        <v>49.15</v>
      </c>
      <c r="L34" s="3">
        <v>27327.39</v>
      </c>
      <c r="M34">
        <v>0</v>
      </c>
      <c r="N34" s="3">
        <v>9978.65</v>
      </c>
      <c r="O34" t="str">
        <f>""</f>
        <v/>
      </c>
      <c r="P34" s="2">
        <v>0</v>
      </c>
      <c r="Q34" s="3">
        <v>22379.01</v>
      </c>
      <c r="R34" t="str">
        <f>""</f>
        <v/>
      </c>
    </row>
    <row r="35" spans="1:18" x14ac:dyDescent="0.25">
      <c r="A35" s="1">
        <v>46175</v>
      </c>
      <c r="B35" t="str">
        <f t="shared" si="0"/>
        <v>*Quality Dividend Strategy (*QDG)</v>
      </c>
      <c r="C35" s="2">
        <v>2.2700000000000001E-2</v>
      </c>
      <c r="D35" t="str">
        <f>"UL"</f>
        <v>UL</v>
      </c>
      <c r="E35">
        <v>904767803</v>
      </c>
      <c r="F35" t="str">
        <f>"Unilever PLC"</f>
        <v>Unilever PLC</v>
      </c>
      <c r="G35">
        <v>898</v>
      </c>
      <c r="H35" s="1">
        <v>43889</v>
      </c>
      <c r="I35" s="3">
        <v>49865.94</v>
      </c>
      <c r="J35">
        <v>55.53</v>
      </c>
      <c r="K35">
        <v>58.12</v>
      </c>
      <c r="L35" s="3">
        <v>52191.45</v>
      </c>
      <c r="M35" s="3">
        <v>2027.4</v>
      </c>
      <c r="N35" s="3">
        <v>12125.94</v>
      </c>
      <c r="O35" s="2">
        <v>3.8800000000000001E-2</v>
      </c>
      <c r="P35" s="2">
        <v>4.07E-2</v>
      </c>
      <c r="Q35" s="3">
        <v>-2325.5100000000002</v>
      </c>
      <c r="R35" t="str">
        <f>""</f>
        <v/>
      </c>
    </row>
    <row r="36" spans="1:18" x14ac:dyDescent="0.25">
      <c r="A36" s="1">
        <v>46175</v>
      </c>
      <c r="B36" t="str">
        <f t="shared" si="0"/>
        <v>*Quality Dividend Strategy (*QDG)</v>
      </c>
      <c r="C36" s="2">
        <v>2.5600000000000001E-2</v>
      </c>
      <c r="D36" t="str">
        <f>"UNP"</f>
        <v>UNP</v>
      </c>
      <c r="E36">
        <v>907818108</v>
      </c>
      <c r="F36" t="str">
        <f>"Union Pacific"</f>
        <v>Union Pacific</v>
      </c>
      <c r="G36">
        <v>213</v>
      </c>
      <c r="H36" s="1">
        <v>45092</v>
      </c>
      <c r="I36" s="3">
        <v>56376.84</v>
      </c>
      <c r="J36">
        <v>264.68</v>
      </c>
      <c r="K36">
        <v>211.24</v>
      </c>
      <c r="L36" s="3">
        <v>44993.19</v>
      </c>
      <c r="M36" s="3">
        <v>1175.76</v>
      </c>
      <c r="N36" s="3">
        <v>2557.98</v>
      </c>
      <c r="O36" s="2">
        <v>2.6100000000000002E-2</v>
      </c>
      <c r="P36" s="2">
        <v>2.0899999999999998E-2</v>
      </c>
      <c r="Q36" s="3">
        <v>11383.65</v>
      </c>
      <c r="R36" t="str">
        <f>""</f>
        <v/>
      </c>
    </row>
    <row r="37" spans="1:18" x14ac:dyDescent="0.25">
      <c r="A37" s="1">
        <v>46175</v>
      </c>
      <c r="B37" t="str">
        <f t="shared" si="0"/>
        <v>*Quality Dividend Strategy (*QDG)</v>
      </c>
      <c r="C37" s="2">
        <v>0.02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>
        <v>920</v>
      </c>
      <c r="H37" s="1">
        <v>42241</v>
      </c>
      <c r="I37" s="3">
        <v>44040.4</v>
      </c>
      <c r="J37">
        <v>47.87</v>
      </c>
      <c r="K37">
        <v>46.89</v>
      </c>
      <c r="L37" s="3">
        <v>43136.03</v>
      </c>
      <c r="M37" s="3">
        <v>2603.6</v>
      </c>
      <c r="N37" s="3">
        <v>25512.27</v>
      </c>
      <c r="O37" s="2">
        <v>6.0400000000000002E-2</v>
      </c>
      <c r="P37" s="2">
        <v>5.91E-2</v>
      </c>
      <c r="Q37">
        <v>904.37</v>
      </c>
      <c r="R37" t="str">
        <f>""</f>
        <v/>
      </c>
    </row>
    <row r="38" spans="1:18" x14ac:dyDescent="0.25">
      <c r="A38" s="1">
        <v>46175</v>
      </c>
      <c r="B38" t="str">
        <f t="shared" si="0"/>
        <v>*Quality Dividend Strategy (*QDG)</v>
      </c>
      <c r="C38" s="2">
        <v>8.0799999999999997E-2</v>
      </c>
      <c r="D38" t="str">
        <f>"CASH"</f>
        <v>CASH</v>
      </c>
      <c r="E38" t="str">
        <f>""</f>
        <v/>
      </c>
      <c r="F38" t="str">
        <f>"Cash"</f>
        <v>Cash</v>
      </c>
      <c r="G38" t="str">
        <f>""</f>
        <v/>
      </c>
      <c r="H38" t="str">
        <f>""</f>
        <v/>
      </c>
      <c r="I38" s="3">
        <v>177865.4</v>
      </c>
      <c r="J38" t="str">
        <f>""</f>
        <v/>
      </c>
      <c r="K38" t="str">
        <f>""</f>
        <v/>
      </c>
      <c r="L38" s="3">
        <v>177865.4</v>
      </c>
      <c r="M38" s="3">
        <v>1778.65</v>
      </c>
      <c r="N38">
        <v>0</v>
      </c>
      <c r="O38" s="2">
        <v>0.01</v>
      </c>
      <c r="P38" s="2">
        <v>0.01</v>
      </c>
      <c r="Q38">
        <v>0</v>
      </c>
      <c r="R38" t="str">
        <f>""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198F8-FC20-43FF-A3D5-DD1C3A6A17C5}">
  <dimension ref="A1:R27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"*Quality SMID Dividend Strategy (*SMID)"</f>
        <v>*Quality SMID Dividend Strategy (*SMID)</v>
      </c>
      <c r="C2" s="2">
        <v>3.4099999999999998E-2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82459.399999999994</v>
      </c>
      <c r="J2">
        <v>116.14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0.01</v>
      </c>
      <c r="Q2" s="3">
        <v>56771.62</v>
      </c>
      <c r="R2" t="str">
        <f>""</f>
        <v/>
      </c>
    </row>
    <row r="3" spans="1:18" x14ac:dyDescent="0.25">
      <c r="A3" s="1">
        <v>46175</v>
      </c>
      <c r="B3" t="str">
        <f>"*Quality SMID Dividend Strategy (*SMID)"</f>
        <v>*Quality SMID Dividend Strategy (*SMID)</v>
      </c>
      <c r="C3" s="2">
        <v>2.4799999999999999E-2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953</v>
      </c>
      <c r="H3" s="1">
        <v>46140</v>
      </c>
      <c r="I3" s="3">
        <v>60039</v>
      </c>
      <c r="J3">
        <v>63</v>
      </c>
      <c r="K3">
        <v>65.209999999999994</v>
      </c>
      <c r="L3" s="3">
        <v>62147.61</v>
      </c>
      <c r="M3" s="3">
        <v>2169.0300000000002</v>
      </c>
      <c r="N3">
        <v>0</v>
      </c>
      <c r="O3" s="2">
        <v>3.49E-2</v>
      </c>
      <c r="P3" s="2">
        <v>3.61E-2</v>
      </c>
      <c r="Q3" s="3">
        <v>-2108.61</v>
      </c>
      <c r="R3" t="str">
        <f>""</f>
        <v/>
      </c>
    </row>
    <row r="4" spans="1:18" x14ac:dyDescent="0.25">
      <c r="A4" s="1">
        <v>46175</v>
      </c>
      <c r="B4" t="str">
        <f>"*Quality SMID Dividend Strategy (*SMID)"</f>
        <v>*Quality SMID Dividend Strategy (*SMID)</v>
      </c>
      <c r="C4" s="2">
        <v>2.5000000000000001E-2</v>
      </c>
      <c r="D4" t="str">
        <f>"AWR"</f>
        <v>AWR</v>
      </c>
      <c r="E4" t="str">
        <f>"029899101"</f>
        <v>029899101</v>
      </c>
      <c r="F4" t="str">
        <f>"American States Water Co"</f>
        <v>American States Water Co</v>
      </c>
      <c r="G4">
        <v>784</v>
      </c>
      <c r="H4" s="1">
        <v>46175</v>
      </c>
      <c r="I4" s="3">
        <v>60587.519999999997</v>
      </c>
      <c r="J4">
        <v>77.28</v>
      </c>
      <c r="K4">
        <v>76.78</v>
      </c>
      <c r="L4" s="3">
        <v>60195.519999999997</v>
      </c>
      <c r="M4">
        <v>0</v>
      </c>
      <c r="N4">
        <v>0</v>
      </c>
      <c r="O4" t="str">
        <f>""</f>
        <v/>
      </c>
      <c r="P4" s="2">
        <v>0</v>
      </c>
      <c r="Q4">
        <v>392</v>
      </c>
      <c r="R4" t="str">
        <f>""</f>
        <v/>
      </c>
    </row>
    <row r="5" spans="1:18" x14ac:dyDescent="0.25">
      <c r="A5" s="1">
        <v>46175</v>
      </c>
      <c r="B5" t="str">
        <f>"*Quality SMID Dividend Strategy (*SMID)"</f>
        <v>*Quality SMID Dividend Strategy (*SMID)</v>
      </c>
      <c r="C5" s="2">
        <v>5.2999999999999999E-2</v>
      </c>
      <c r="D5" t="str">
        <f>"BKH"</f>
        <v>BKH</v>
      </c>
      <c r="E5" t="str">
        <f>"092113109"</f>
        <v>092113109</v>
      </c>
      <c r="F5" t="str">
        <f>"Black Hills"</f>
        <v>Black Hills</v>
      </c>
      <c r="G5" s="3">
        <v>1781</v>
      </c>
      <c r="H5" s="1">
        <v>45051</v>
      </c>
      <c r="I5" s="3">
        <v>128321.05</v>
      </c>
      <c r="J5">
        <v>72.05</v>
      </c>
      <c r="K5">
        <v>60.76</v>
      </c>
      <c r="L5" s="3">
        <v>108214.14</v>
      </c>
      <c r="M5" s="3">
        <v>5008.17</v>
      </c>
      <c r="N5" s="3">
        <v>12772.25</v>
      </c>
      <c r="O5" s="2">
        <v>4.6300000000000001E-2</v>
      </c>
      <c r="P5" s="2">
        <v>3.9E-2</v>
      </c>
      <c r="Q5" s="3">
        <v>20106.91</v>
      </c>
      <c r="R5" t="str">
        <f>""</f>
        <v/>
      </c>
    </row>
    <row r="6" spans="1:18" x14ac:dyDescent="0.25">
      <c r="A6" s="1">
        <v>46175</v>
      </c>
      <c r="B6" t="str">
        <f>"*Quality SMID Dividend Strategy (*SMID)"</f>
        <v>*Quality SMID Dividend Strategy (*SMID)</v>
      </c>
      <c r="C6" s="2">
        <v>3.2300000000000002E-2</v>
      </c>
      <c r="D6" t="str">
        <f>"COR"</f>
        <v>COR</v>
      </c>
      <c r="E6" t="str">
        <f>"03073E105"</f>
        <v>03073E105</v>
      </c>
      <c r="F6" t="str">
        <f>"Cencora"</f>
        <v>Cencora</v>
      </c>
      <c r="G6">
        <v>295</v>
      </c>
      <c r="H6" s="1">
        <v>42506</v>
      </c>
      <c r="I6" s="3">
        <v>78127.8</v>
      </c>
      <c r="J6">
        <v>264.83999999999997</v>
      </c>
      <c r="K6">
        <v>77.72</v>
      </c>
      <c r="L6" s="3">
        <v>22926.42</v>
      </c>
      <c r="M6">
        <v>708</v>
      </c>
      <c r="N6" s="3">
        <v>1747.9</v>
      </c>
      <c r="O6" s="2">
        <v>3.09E-2</v>
      </c>
      <c r="P6" s="2">
        <v>9.1000000000000004E-3</v>
      </c>
      <c r="Q6" s="3">
        <v>55201.38</v>
      </c>
      <c r="R6" t="str">
        <f>""</f>
        <v/>
      </c>
    </row>
    <row r="7" spans="1:18" x14ac:dyDescent="0.25">
      <c r="A7" s="1">
        <v>46175</v>
      </c>
      <c r="B7" t="str">
        <f>"*Quality SMID Dividend Strategy (*SMID)"</f>
        <v>*Quality SMID Dividend Strategy (*SMID)</v>
      </c>
      <c r="C7" s="2">
        <v>2.8299999999999999E-2</v>
      </c>
      <c r="D7" t="str">
        <f>"CNP"</f>
        <v>CNP</v>
      </c>
      <c r="E7" t="str">
        <f>"15189T107"</f>
        <v>15189T107</v>
      </c>
      <c r="F7" t="str">
        <f>"CenterPoint Energy"</f>
        <v>CenterPoint Energy</v>
      </c>
      <c r="G7" s="3">
        <v>1641</v>
      </c>
      <c r="H7" s="1">
        <v>43223</v>
      </c>
      <c r="I7" s="3">
        <v>68478.929999999993</v>
      </c>
      <c r="J7">
        <v>41.73</v>
      </c>
      <c r="K7">
        <v>23.71</v>
      </c>
      <c r="L7" s="3">
        <v>38909.379999999997</v>
      </c>
      <c r="M7" s="3">
        <v>1509.72</v>
      </c>
      <c r="N7" s="3">
        <v>17183.099999999999</v>
      </c>
      <c r="O7" s="2">
        <v>3.8800000000000001E-2</v>
      </c>
      <c r="P7" s="2">
        <v>2.1999999999999999E-2</v>
      </c>
      <c r="Q7" s="3">
        <v>29569.55</v>
      </c>
      <c r="R7" t="str">
        <f>""</f>
        <v/>
      </c>
    </row>
    <row r="8" spans="1:18" x14ac:dyDescent="0.25">
      <c r="A8" s="1">
        <v>46175</v>
      </c>
      <c r="B8" t="str">
        <f>"*Quality SMID Dividend Strategy (*SMID)"</f>
        <v>*Quality SMID Dividend Strategy (*SMID)</v>
      </c>
      <c r="C8" s="2">
        <v>4.0099999999999997E-2</v>
      </c>
      <c r="D8" t="str">
        <f>"CLX"</f>
        <v>CLX</v>
      </c>
      <c r="E8">
        <v>189054109</v>
      </c>
      <c r="F8" t="str">
        <f>"Clorox"</f>
        <v>Clorox</v>
      </c>
      <c r="G8" s="3">
        <v>1082</v>
      </c>
      <c r="H8" s="1">
        <v>43223</v>
      </c>
      <c r="I8" s="3">
        <v>96979.66</v>
      </c>
      <c r="J8">
        <v>89.63</v>
      </c>
      <c r="K8">
        <v>121.06</v>
      </c>
      <c r="L8" s="3">
        <v>130985.47</v>
      </c>
      <c r="M8" s="3">
        <v>5366.72</v>
      </c>
      <c r="N8" s="3">
        <v>19533.88</v>
      </c>
      <c r="O8" s="2">
        <v>4.1000000000000002E-2</v>
      </c>
      <c r="P8" s="2">
        <v>5.5300000000000002E-2</v>
      </c>
      <c r="Q8" s="3">
        <v>-34005.81</v>
      </c>
      <c r="R8" t="str">
        <f>""</f>
        <v/>
      </c>
    </row>
    <row r="9" spans="1:18" x14ac:dyDescent="0.25">
      <c r="A9" s="1">
        <v>46175</v>
      </c>
      <c r="B9" t="str">
        <f>"*Quality SMID Dividend Strategy (*SMID)"</f>
        <v>*Quality SMID Dividend Strategy (*SMID)</v>
      </c>
      <c r="C9" s="2">
        <v>5.4399999999999997E-2</v>
      </c>
      <c r="D9" t="str">
        <f>"CFR"</f>
        <v>CFR</v>
      </c>
      <c r="E9">
        <v>229899109</v>
      </c>
      <c r="F9" t="str">
        <f>"Cullen/Frost Bankers"</f>
        <v>Cullen/Frost Bankers</v>
      </c>
      <c r="G9">
        <v>971</v>
      </c>
      <c r="H9" s="1">
        <v>42401</v>
      </c>
      <c r="I9" s="3">
        <v>131609.34</v>
      </c>
      <c r="J9">
        <v>135.54</v>
      </c>
      <c r="K9">
        <v>66.38</v>
      </c>
      <c r="L9" s="3">
        <v>64458.14</v>
      </c>
      <c r="M9" s="3">
        <v>4000.52</v>
      </c>
      <c r="N9" s="3">
        <v>22461.68</v>
      </c>
      <c r="O9" s="2">
        <v>6.2100000000000002E-2</v>
      </c>
      <c r="P9" s="2">
        <v>3.04E-2</v>
      </c>
      <c r="Q9" s="3">
        <v>67151.199999999997</v>
      </c>
      <c r="R9" t="str">
        <f>""</f>
        <v/>
      </c>
    </row>
    <row r="10" spans="1:18" x14ac:dyDescent="0.25">
      <c r="A10" s="1">
        <v>46175</v>
      </c>
      <c r="B10" t="str">
        <f>"*Quality SMID Dividend Strategy (*SMID)"</f>
        <v>*Quality SMID Dividend Strategy (*SMID)</v>
      </c>
      <c r="C10" s="2">
        <v>5.74E-2</v>
      </c>
      <c r="D10" t="str">
        <f>"DVN"</f>
        <v>DVN</v>
      </c>
      <c r="E10" t="str">
        <f>"25179M103"</f>
        <v>25179M103</v>
      </c>
      <c r="F10" t="str">
        <f>"Devon Energy"</f>
        <v>Devon Energy</v>
      </c>
      <c r="G10" s="3">
        <v>3004</v>
      </c>
      <c r="H10" s="1">
        <v>45700</v>
      </c>
      <c r="I10" s="3">
        <v>138844.88</v>
      </c>
      <c r="J10">
        <v>46.22</v>
      </c>
      <c r="K10">
        <v>34.770000000000003</v>
      </c>
      <c r="L10" s="3">
        <v>104446.15</v>
      </c>
      <c r="M10" s="3">
        <v>3124.16</v>
      </c>
      <c r="N10" s="3">
        <v>3263.04</v>
      </c>
      <c r="O10" s="2">
        <v>2.9899999999999999E-2</v>
      </c>
      <c r="P10" s="2">
        <v>2.2499999999999999E-2</v>
      </c>
      <c r="Q10" s="3">
        <v>34398.730000000003</v>
      </c>
      <c r="R10" t="str">
        <f>""</f>
        <v/>
      </c>
    </row>
    <row r="11" spans="1:18" x14ac:dyDescent="0.25">
      <c r="A11" s="1">
        <v>46175</v>
      </c>
      <c r="B11" t="str">
        <f>"*Quality SMID Dividend Strategy (*SMID)"</f>
        <v>*Quality SMID Dividend Strategy (*SMID)</v>
      </c>
      <c r="C11" s="2">
        <v>3.7400000000000003E-2</v>
      </c>
      <c r="D11" t="str">
        <f>"EMN"</f>
        <v>EMN</v>
      </c>
      <c r="E11">
        <v>277432100</v>
      </c>
      <c r="F11" t="str">
        <f>"Eastman Chemical"</f>
        <v>Eastman Chemical</v>
      </c>
      <c r="G11" s="3">
        <v>1179</v>
      </c>
      <c r="H11" s="1">
        <v>43509</v>
      </c>
      <c r="I11" s="3">
        <v>90393.93</v>
      </c>
      <c r="J11">
        <v>76.67</v>
      </c>
      <c r="K11">
        <v>76.84</v>
      </c>
      <c r="L11" s="3">
        <v>90593.87</v>
      </c>
      <c r="M11" s="3">
        <v>3961.44</v>
      </c>
      <c r="N11" s="3">
        <v>20178.150000000001</v>
      </c>
      <c r="O11" s="2">
        <v>4.3700000000000003E-2</v>
      </c>
      <c r="P11" s="2">
        <v>4.3799999999999999E-2</v>
      </c>
      <c r="Q11">
        <v>-199.94</v>
      </c>
      <c r="R11" t="str">
        <f>""</f>
        <v/>
      </c>
    </row>
    <row r="12" spans="1:18" x14ac:dyDescent="0.25">
      <c r="A12" s="1">
        <v>46175</v>
      </c>
      <c r="B12" t="str">
        <f>"*Quality SMID Dividend Strategy (*SMID)"</f>
        <v>*Quality SMID Dividend Strategy (*SMID)</v>
      </c>
      <c r="C12" s="2">
        <v>3.04E-2</v>
      </c>
      <c r="D12" t="str">
        <f>"HRL"</f>
        <v>HRL</v>
      </c>
      <c r="E12">
        <v>440452100</v>
      </c>
      <c r="F12" t="str">
        <f>"Hormel Foods"</f>
        <v>Hormel Foods</v>
      </c>
      <c r="G12" s="3">
        <v>3150</v>
      </c>
      <c r="H12" s="1">
        <v>45251</v>
      </c>
      <c r="I12" s="3">
        <v>73552.5</v>
      </c>
      <c r="J12">
        <v>23.35</v>
      </c>
      <c r="K12">
        <v>31.72</v>
      </c>
      <c r="L12" s="3">
        <v>99926.73</v>
      </c>
      <c r="M12" s="3">
        <v>3685.5</v>
      </c>
      <c r="N12" s="3">
        <v>8521.83</v>
      </c>
      <c r="O12" s="2">
        <v>3.6900000000000002E-2</v>
      </c>
      <c r="P12" s="2">
        <v>5.0099999999999999E-2</v>
      </c>
      <c r="Q12" s="3">
        <v>-26374.23</v>
      </c>
      <c r="R12" t="str">
        <f>""</f>
        <v/>
      </c>
    </row>
    <row r="13" spans="1:18" x14ac:dyDescent="0.25">
      <c r="A13" s="1">
        <v>46175</v>
      </c>
      <c r="B13" t="str">
        <f>"*Quality SMID Dividend Strategy (*SMID)"</f>
        <v>*Quality SMID Dividend Strategy (*SMID)</v>
      </c>
      <c r="C13" s="2">
        <v>1.77E-2</v>
      </c>
      <c r="D13" t="str">
        <f>"HII"</f>
        <v>HII</v>
      </c>
      <c r="E13">
        <v>446413106</v>
      </c>
      <c r="F13" t="str">
        <f>"Huntington Ingalls"</f>
        <v>Huntington Ingalls</v>
      </c>
      <c r="G13">
        <v>146</v>
      </c>
      <c r="H13" s="1">
        <v>44183</v>
      </c>
      <c r="I13" s="3">
        <v>42874.36</v>
      </c>
      <c r="J13">
        <v>293.66000000000003</v>
      </c>
      <c r="K13">
        <v>193.64</v>
      </c>
      <c r="L13" s="3">
        <v>28271.119999999999</v>
      </c>
      <c r="M13">
        <v>805.92</v>
      </c>
      <c r="N13" s="3">
        <v>10212.959999999999</v>
      </c>
      <c r="O13" s="2">
        <v>2.8500000000000001E-2</v>
      </c>
      <c r="P13" s="2">
        <v>1.8800000000000001E-2</v>
      </c>
      <c r="Q13" s="3">
        <v>14603.24</v>
      </c>
      <c r="R13" t="str">
        <f>""</f>
        <v/>
      </c>
    </row>
    <row r="14" spans="1:18" x14ac:dyDescent="0.25">
      <c r="A14" s="1">
        <v>46175</v>
      </c>
      <c r="B14" t="str">
        <f>"*Quality SMID Dividend Strategy (*SMID)"</f>
        <v>*Quality SMID Dividend Strategy (*SMID)</v>
      </c>
      <c r="C14" s="2">
        <v>2.4500000000000001E-2</v>
      </c>
      <c r="D14" t="str">
        <f>"INGR"</f>
        <v>INGR</v>
      </c>
      <c r="E14">
        <v>457187102</v>
      </c>
      <c r="F14" t="str">
        <f>"Ingredion"</f>
        <v>Ingredion</v>
      </c>
      <c r="G14">
        <v>586</v>
      </c>
      <c r="H14" s="1">
        <v>43746</v>
      </c>
      <c r="I14" s="3">
        <v>59256.32</v>
      </c>
      <c r="J14">
        <v>101.12</v>
      </c>
      <c r="K14">
        <v>80.53</v>
      </c>
      <c r="L14" s="3">
        <v>47192.12</v>
      </c>
      <c r="M14" s="3">
        <v>1922.08</v>
      </c>
      <c r="N14" s="3">
        <v>10940.62</v>
      </c>
      <c r="O14" s="2">
        <v>4.07E-2</v>
      </c>
      <c r="P14" s="2">
        <v>3.2399999999999998E-2</v>
      </c>
      <c r="Q14" s="3">
        <v>12064.2</v>
      </c>
      <c r="R14" t="str">
        <f>""</f>
        <v/>
      </c>
    </row>
    <row r="15" spans="1:18" x14ac:dyDescent="0.25">
      <c r="A15" s="1">
        <v>46175</v>
      </c>
      <c r="B15" t="str">
        <f>"*Quality SMID Dividend Strategy (*SMID)"</f>
        <v>*Quality SMID Dividend Strategy (*SMID)</v>
      </c>
      <c r="C15" s="2">
        <v>3.95E-2</v>
      </c>
      <c r="D15" t="str">
        <f>"JKHY"</f>
        <v>JKHY</v>
      </c>
      <c r="E15">
        <v>426281101</v>
      </c>
      <c r="F15" t="str">
        <f>"Jack Henry &amp; Associates"</f>
        <v>Jack Henry &amp; Associates</v>
      </c>
      <c r="G15">
        <v>703</v>
      </c>
      <c r="H15" s="1">
        <v>44188</v>
      </c>
      <c r="I15" s="3">
        <v>95629.09</v>
      </c>
      <c r="J15">
        <v>136.03</v>
      </c>
      <c r="K15">
        <v>152.54</v>
      </c>
      <c r="L15" s="3">
        <v>107238.36</v>
      </c>
      <c r="M15" s="3">
        <v>1715.32</v>
      </c>
      <c r="N15" s="3">
        <v>5602.67</v>
      </c>
      <c r="O15" s="2">
        <v>1.6E-2</v>
      </c>
      <c r="P15" s="2">
        <v>1.7899999999999999E-2</v>
      </c>
      <c r="Q15" s="3">
        <v>-11609.27</v>
      </c>
      <c r="R15" t="str">
        <f>""</f>
        <v/>
      </c>
    </row>
    <row r="16" spans="1:18" x14ac:dyDescent="0.25">
      <c r="A16" s="1">
        <v>46175</v>
      </c>
      <c r="B16" t="str">
        <f>"*Quality SMID Dividend Strategy (*SMID)"</f>
        <v>*Quality SMID Dividend Strategy (*SMID)</v>
      </c>
      <c r="C16" s="2">
        <v>3.44E-2</v>
      </c>
      <c r="D16" t="str">
        <f>"LECO"</f>
        <v>LECO</v>
      </c>
      <c r="E16">
        <v>533900106</v>
      </c>
      <c r="F16" t="str">
        <f>"Lincoln Electric"</f>
        <v>Lincoln Electric</v>
      </c>
      <c r="G16">
        <v>327</v>
      </c>
      <c r="H16" s="1">
        <v>42383</v>
      </c>
      <c r="I16" s="3">
        <v>83149.56</v>
      </c>
      <c r="J16">
        <v>254.28</v>
      </c>
      <c r="K16">
        <v>63.35</v>
      </c>
      <c r="L16" s="3">
        <v>20713.86</v>
      </c>
      <c r="M16" s="3">
        <v>1033.32</v>
      </c>
      <c r="N16" s="3">
        <v>8582.0300000000007</v>
      </c>
      <c r="O16" s="2">
        <v>4.99E-2</v>
      </c>
      <c r="P16" s="2">
        <v>1.24E-2</v>
      </c>
      <c r="Q16" s="3">
        <v>62435.7</v>
      </c>
      <c r="R16" t="str">
        <f>""</f>
        <v/>
      </c>
    </row>
    <row r="17" spans="1:18" x14ac:dyDescent="0.25">
      <c r="A17" s="1">
        <v>46175</v>
      </c>
      <c r="B17" t="str">
        <f>"*Quality SMID Dividend Strategy (*SMID)"</f>
        <v>*Quality SMID Dividend Strategy (*SMID)</v>
      </c>
      <c r="C17" s="2">
        <v>3.8899999999999997E-2</v>
      </c>
      <c r="D17" t="str">
        <f>"MKC"</f>
        <v>MKC</v>
      </c>
      <c r="E17">
        <v>579780206</v>
      </c>
      <c r="F17" t="str">
        <f>"McCormick &amp; Co."</f>
        <v>McCormick &amp; Co.</v>
      </c>
      <c r="G17" s="3">
        <v>2042</v>
      </c>
      <c r="H17" s="1">
        <v>45980</v>
      </c>
      <c r="I17" s="3">
        <v>94238.3</v>
      </c>
      <c r="J17">
        <v>46.15</v>
      </c>
      <c r="K17">
        <v>64.02</v>
      </c>
      <c r="L17" s="3">
        <v>130719.09</v>
      </c>
      <c r="M17" s="3">
        <v>3920.64</v>
      </c>
      <c r="N17" s="3">
        <v>1644.96</v>
      </c>
      <c r="O17" s="2">
        <v>0.03</v>
      </c>
      <c r="P17" s="2">
        <v>4.1599999999999998E-2</v>
      </c>
      <c r="Q17" s="3">
        <v>-36480.79</v>
      </c>
      <c r="R17" t="str">
        <f>""</f>
        <v/>
      </c>
    </row>
    <row r="18" spans="1:18" x14ac:dyDescent="0.25">
      <c r="A18" s="1">
        <v>46175</v>
      </c>
      <c r="B18" t="str">
        <f>"*Quality SMID Dividend Strategy (*SMID)"</f>
        <v>*Quality SMID Dividend Strategy (*SMID)</v>
      </c>
      <c r="C18" s="2">
        <v>5.3199999999999997E-2</v>
      </c>
      <c r="D18" t="str">
        <f>"MSM"</f>
        <v>MSM</v>
      </c>
      <c r="E18">
        <v>553530106</v>
      </c>
      <c r="F18" t="str">
        <f>"MSC Industrial"</f>
        <v>MSC Industrial</v>
      </c>
      <c r="G18" s="3">
        <v>1117</v>
      </c>
      <c r="H18" s="1">
        <v>43353</v>
      </c>
      <c r="I18" s="3">
        <v>128644.89</v>
      </c>
      <c r="J18">
        <v>115.17</v>
      </c>
      <c r="K18">
        <v>79.989999999999995</v>
      </c>
      <c r="L18" s="3">
        <v>89345.88</v>
      </c>
      <c r="M18" s="3">
        <v>3887.16</v>
      </c>
      <c r="N18" s="3">
        <v>28048.79</v>
      </c>
      <c r="O18" s="2">
        <v>4.3499999999999997E-2</v>
      </c>
      <c r="P18" s="2">
        <v>3.0200000000000001E-2</v>
      </c>
      <c r="Q18" s="3">
        <v>39299.01</v>
      </c>
      <c r="R18" t="str">
        <f>""</f>
        <v/>
      </c>
    </row>
    <row r="19" spans="1:18" x14ac:dyDescent="0.25">
      <c r="A19" s="1">
        <v>46175</v>
      </c>
      <c r="B19" t="str">
        <f>"*Quality SMID Dividend Strategy (*SMID)"</f>
        <v>*Quality SMID Dividend Strategy (*SMID)</v>
      </c>
      <c r="C19" s="2">
        <v>4.5600000000000002E-2</v>
      </c>
      <c r="D19" t="str">
        <f>"PAYX"</f>
        <v>PAYX</v>
      </c>
      <c r="E19">
        <v>704326107</v>
      </c>
      <c r="F19" t="str">
        <f>"Paychex"</f>
        <v>Paychex</v>
      </c>
      <c r="G19" s="3">
        <v>1095</v>
      </c>
      <c r="H19" s="1">
        <v>42255</v>
      </c>
      <c r="I19" s="3">
        <v>110365.05</v>
      </c>
      <c r="J19">
        <v>100.79</v>
      </c>
      <c r="K19">
        <v>84.15</v>
      </c>
      <c r="L19" s="3">
        <v>92141.93</v>
      </c>
      <c r="M19" s="3">
        <v>5212.2</v>
      </c>
      <c r="N19" s="3">
        <v>21701.08</v>
      </c>
      <c r="O19" s="2">
        <v>5.6599999999999998E-2</v>
      </c>
      <c r="P19" s="2">
        <v>4.7199999999999999E-2</v>
      </c>
      <c r="Q19" s="3">
        <v>18223.12</v>
      </c>
      <c r="R19" t="str">
        <f>""</f>
        <v/>
      </c>
    </row>
    <row r="20" spans="1:18" x14ac:dyDescent="0.25">
      <c r="A20" s="1">
        <v>46175</v>
      </c>
      <c r="B20" t="str">
        <f>"*Quality SMID Dividend Strategy (*SMID)"</f>
        <v>*Quality SMID Dividend Strategy (*SMID)</v>
      </c>
      <c r="C20" s="2">
        <v>3.6799999999999999E-2</v>
      </c>
      <c r="D20" t="str">
        <f>"POR"</f>
        <v>POR</v>
      </c>
      <c r="E20">
        <v>736508847</v>
      </c>
      <c r="F20" t="str">
        <f>"Portland General Electric Co"</f>
        <v>Portland General Electric Co</v>
      </c>
      <c r="G20" s="3">
        <v>1798</v>
      </c>
      <c r="H20" s="1">
        <v>45845</v>
      </c>
      <c r="I20" s="3">
        <v>88983.02</v>
      </c>
      <c r="J20">
        <v>49.49</v>
      </c>
      <c r="K20">
        <v>40.909999999999997</v>
      </c>
      <c r="L20" s="3">
        <v>73558.899999999994</v>
      </c>
      <c r="M20" s="3">
        <v>3964.59</v>
      </c>
      <c r="N20" s="3">
        <v>2831.89</v>
      </c>
      <c r="O20" s="2">
        <v>5.3900000000000003E-2</v>
      </c>
      <c r="P20" s="2">
        <v>4.4600000000000001E-2</v>
      </c>
      <c r="Q20" s="3">
        <v>15424.12</v>
      </c>
      <c r="R20" t="str">
        <f>""</f>
        <v/>
      </c>
    </row>
    <row r="21" spans="1:18" x14ac:dyDescent="0.25">
      <c r="A21" s="1">
        <v>46175</v>
      </c>
      <c r="B21" t="str">
        <f>"*Quality SMID Dividend Strategy (*SMID)"</f>
        <v>*Quality SMID Dividend Strategy (*SMID)</v>
      </c>
      <c r="C21" s="2">
        <v>3.4299999999999997E-2</v>
      </c>
      <c r="D21" t="str">
        <f>"PFG"</f>
        <v>PFG</v>
      </c>
      <c r="E21" t="str">
        <f>"74251V102"</f>
        <v>74251V102</v>
      </c>
      <c r="F21" t="str">
        <f>"Principal Financial"</f>
        <v>Principal Financial</v>
      </c>
      <c r="G21">
        <v>804</v>
      </c>
      <c r="H21" s="1">
        <v>41954</v>
      </c>
      <c r="I21" s="3">
        <v>83061.240000000005</v>
      </c>
      <c r="J21">
        <v>103.31</v>
      </c>
      <c r="K21">
        <v>49.4</v>
      </c>
      <c r="L21" s="3">
        <v>39713.660000000003</v>
      </c>
      <c r="M21" s="3">
        <v>2637.12</v>
      </c>
      <c r="N21" s="3">
        <v>23592.74</v>
      </c>
      <c r="O21" s="2">
        <v>6.6400000000000001E-2</v>
      </c>
      <c r="P21" s="2">
        <v>3.1699999999999999E-2</v>
      </c>
      <c r="Q21" s="3">
        <v>43347.58</v>
      </c>
      <c r="R21" t="str">
        <f>""</f>
        <v/>
      </c>
    </row>
    <row r="22" spans="1:18" x14ac:dyDescent="0.25">
      <c r="A22" s="1">
        <v>46175</v>
      </c>
      <c r="B22" t="str">
        <f>"*Quality SMID Dividend Strategy (*SMID)"</f>
        <v>*Quality SMID Dividend Strategy (*SMID)</v>
      </c>
      <c r="C22" s="2">
        <v>4.4400000000000002E-2</v>
      </c>
      <c r="D22" t="str">
        <f>"DGX"</f>
        <v>DGX</v>
      </c>
      <c r="E22" t="str">
        <f>"74834L100"</f>
        <v>74834L100</v>
      </c>
      <c r="F22" t="str">
        <f>"Quest Diagnostics"</f>
        <v>Quest Diagnostics</v>
      </c>
      <c r="G22">
        <v>556</v>
      </c>
      <c r="H22" s="1">
        <v>42278</v>
      </c>
      <c r="I22" s="3">
        <v>107396.96</v>
      </c>
      <c r="J22">
        <v>193.16</v>
      </c>
      <c r="K22">
        <v>74.45</v>
      </c>
      <c r="L22" s="3">
        <v>41396.480000000003</v>
      </c>
      <c r="M22" s="3">
        <v>1912.64</v>
      </c>
      <c r="N22" s="3">
        <v>14473.92</v>
      </c>
      <c r="O22" s="2">
        <v>4.6199999999999998E-2</v>
      </c>
      <c r="P22" s="2">
        <v>1.78E-2</v>
      </c>
      <c r="Q22" s="3">
        <v>66000.479999999996</v>
      </c>
      <c r="R22" t="str">
        <f>""</f>
        <v/>
      </c>
    </row>
    <row r="23" spans="1:18" x14ac:dyDescent="0.25">
      <c r="A23" s="1">
        <v>46175</v>
      </c>
      <c r="B23" t="str">
        <f>"*Quality SMID Dividend Strategy (*SMID)"</f>
        <v>*Quality SMID Dividend Strategy (*SMID)</v>
      </c>
      <c r="C23" s="2">
        <v>3.6900000000000002E-2</v>
      </c>
      <c r="D23" t="str">
        <f>"RGA"</f>
        <v>RGA</v>
      </c>
      <c r="E23">
        <v>759351604</v>
      </c>
      <c r="F23" t="str">
        <f>"Reinsurance Group of America"</f>
        <v>Reinsurance Group of America</v>
      </c>
      <c r="G23">
        <v>450</v>
      </c>
      <c r="H23" s="1">
        <v>45582</v>
      </c>
      <c r="I23" s="3">
        <v>89266.5</v>
      </c>
      <c r="J23">
        <v>198.37</v>
      </c>
      <c r="K23">
        <v>215.27</v>
      </c>
      <c r="L23" s="3">
        <v>96873.09</v>
      </c>
      <c r="M23" s="3">
        <v>1674</v>
      </c>
      <c r="N23" s="3">
        <v>2345.75</v>
      </c>
      <c r="O23" s="2">
        <v>1.7299999999999999E-2</v>
      </c>
      <c r="P23" s="2">
        <v>1.8800000000000001E-2</v>
      </c>
      <c r="Q23" s="3">
        <v>-7606.59</v>
      </c>
      <c r="R23" t="str">
        <f>""</f>
        <v/>
      </c>
    </row>
    <row r="24" spans="1:18" x14ac:dyDescent="0.25">
      <c r="A24" s="1">
        <v>46175</v>
      </c>
      <c r="B24" t="str">
        <f>"*Quality SMID Dividend Strategy (*SMID)"</f>
        <v>*Quality SMID Dividend Strategy (*SMID)</v>
      </c>
      <c r="C24" s="2">
        <v>3.3099999999999997E-2</v>
      </c>
      <c r="D24" t="str">
        <f>"SNA"</f>
        <v>SNA</v>
      </c>
      <c r="E24">
        <v>833034101</v>
      </c>
      <c r="F24" t="str">
        <f>"Snap-On"</f>
        <v>Snap-On</v>
      </c>
      <c r="G24">
        <v>215</v>
      </c>
      <c r="H24" s="1">
        <v>43805</v>
      </c>
      <c r="I24" s="3">
        <v>80076.75</v>
      </c>
      <c r="J24">
        <v>372.45</v>
      </c>
      <c r="K24">
        <v>151.1</v>
      </c>
      <c r="L24" s="3">
        <v>32486.27</v>
      </c>
      <c r="M24" s="3">
        <v>2098.4</v>
      </c>
      <c r="N24" s="3">
        <v>11725.62</v>
      </c>
      <c r="O24" s="2">
        <v>6.4600000000000005E-2</v>
      </c>
      <c r="P24" s="2">
        <v>2.6200000000000001E-2</v>
      </c>
      <c r="Q24" s="3">
        <v>47590.48</v>
      </c>
      <c r="R24" t="str">
        <f>""</f>
        <v/>
      </c>
    </row>
    <row r="25" spans="1:18" x14ac:dyDescent="0.25">
      <c r="A25" s="1">
        <v>46175</v>
      </c>
      <c r="B25" t="str">
        <f>"*Quality SMID Dividend Strategy (*SMID)"</f>
        <v>*Quality SMID Dividend Strategy (*SMID)</v>
      </c>
      <c r="C25" s="2">
        <v>2.98E-2</v>
      </c>
      <c r="D25" t="str">
        <f>"SWK"</f>
        <v>SWK</v>
      </c>
      <c r="E25">
        <v>854502101</v>
      </c>
      <c r="F25" t="str">
        <f>"Stanley Black &amp; Decker"</f>
        <v>Stanley Black &amp; Decker</v>
      </c>
      <c r="G25">
        <v>910</v>
      </c>
      <c r="H25" s="1">
        <v>45442</v>
      </c>
      <c r="I25" s="3">
        <v>72017.399999999994</v>
      </c>
      <c r="J25">
        <v>79.14</v>
      </c>
      <c r="K25">
        <v>84.37</v>
      </c>
      <c r="L25" s="3">
        <v>76777.919999999998</v>
      </c>
      <c r="M25" s="3">
        <v>3021.2</v>
      </c>
      <c r="N25" s="3">
        <v>5274.85</v>
      </c>
      <c r="O25" s="2">
        <v>3.9300000000000002E-2</v>
      </c>
      <c r="P25" s="2">
        <v>4.2000000000000003E-2</v>
      </c>
      <c r="Q25" s="3">
        <v>-4760.5200000000004</v>
      </c>
      <c r="R25" t="str">
        <f>""</f>
        <v/>
      </c>
    </row>
    <row r="26" spans="1:18" x14ac:dyDescent="0.25">
      <c r="A26" s="1">
        <v>46175</v>
      </c>
      <c r="B26" t="str">
        <f>"*Quality SMID Dividend Strategy (*SMID)"</f>
        <v>*Quality SMID Dividend Strategy (*SMID)</v>
      </c>
      <c r="C26" s="2">
        <v>3.2599999999999997E-2</v>
      </c>
      <c r="D26" t="str">
        <f>"TROW"</f>
        <v>TROW</v>
      </c>
      <c r="E26" t="str">
        <f>"74144T108"</f>
        <v>74144T108</v>
      </c>
      <c r="F26" t="str">
        <f>"T. Rowe Price"</f>
        <v>T. Rowe Price</v>
      </c>
      <c r="G26">
        <v>756</v>
      </c>
      <c r="H26" s="1">
        <v>45700</v>
      </c>
      <c r="I26" s="3">
        <v>78858.36</v>
      </c>
      <c r="J26">
        <v>104.31</v>
      </c>
      <c r="K26">
        <v>106.27</v>
      </c>
      <c r="L26" s="3">
        <v>80343.740000000005</v>
      </c>
      <c r="M26" s="3">
        <v>3931.2</v>
      </c>
      <c r="N26" s="3">
        <v>3700.6</v>
      </c>
      <c r="O26" s="2">
        <v>4.8899999999999999E-2</v>
      </c>
      <c r="P26" s="2">
        <v>4.99E-2</v>
      </c>
      <c r="Q26" s="3">
        <v>-1485.38</v>
      </c>
      <c r="R26" t="str">
        <f>""</f>
        <v/>
      </c>
    </row>
    <row r="27" spans="1:18" x14ac:dyDescent="0.25">
      <c r="A27" s="1">
        <v>46175</v>
      </c>
      <c r="B27" t="str">
        <f>"*Quality SMID Dividend Strategy (*SMID)"</f>
        <v>*Quality SMID Dividend Strategy (*SMID)</v>
      </c>
      <c r="C27" s="2">
        <v>8.1299999999999997E-2</v>
      </c>
      <c r="D27" t="str">
        <f>"CASH"</f>
        <v>CASH</v>
      </c>
      <c r="E27" t="str">
        <f>""</f>
        <v/>
      </c>
      <c r="F27" t="str">
        <f>"Cash"</f>
        <v>Cash</v>
      </c>
      <c r="G27" t="str">
        <f>""</f>
        <v/>
      </c>
      <c r="H27" t="str">
        <f>""</f>
        <v/>
      </c>
      <c r="I27" s="3">
        <v>196791.41</v>
      </c>
      <c r="J27" t="str">
        <f>""</f>
        <v/>
      </c>
      <c r="K27" t="str">
        <f>""</f>
        <v/>
      </c>
      <c r="L27" s="3">
        <v>196791.41</v>
      </c>
      <c r="M27" s="3">
        <v>1967.91</v>
      </c>
      <c r="N27">
        <v>0</v>
      </c>
      <c r="O27" s="2">
        <v>0.01</v>
      </c>
      <c r="P27" s="2">
        <v>0.01</v>
      </c>
      <c r="Q27">
        <v>0</v>
      </c>
      <c r="R27" t="str">
        <f>""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B047-2B6C-4741-8AAA-ADF95716D401}">
  <dimension ref="A1:R49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"*Quality All-Cap Dividend Strategy (*DAC)"</f>
        <v>*Quality All-Cap Dividend Strategy (*DAC)</v>
      </c>
      <c r="C2" s="2">
        <v>1.29E-2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36003.4</v>
      </c>
      <c r="J2">
        <v>116.14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0.01</v>
      </c>
      <c r="Q2" s="3">
        <v>24787.61</v>
      </c>
      <c r="R2" t="str">
        <f>""</f>
        <v/>
      </c>
    </row>
    <row r="3" spans="1:18" x14ac:dyDescent="0.25">
      <c r="A3" s="1">
        <v>46175</v>
      </c>
      <c r="B3" t="str">
        <f>"*Quality All-Cap Dividend Strategy (*DAC)"</f>
        <v>*Quality All-Cap Dividend Strategy (*DAC)</v>
      </c>
      <c r="C3" s="2">
        <v>9.7000000000000003E-3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431</v>
      </c>
      <c r="H3" s="1">
        <v>46140</v>
      </c>
      <c r="I3" s="3">
        <v>27153</v>
      </c>
      <c r="J3">
        <v>63</v>
      </c>
      <c r="K3">
        <v>65.209999999999994</v>
      </c>
      <c r="L3" s="3">
        <v>28106.63</v>
      </c>
      <c r="M3">
        <v>980.96</v>
      </c>
      <c r="N3">
        <v>0</v>
      </c>
      <c r="O3" s="2">
        <v>3.49E-2</v>
      </c>
      <c r="P3" s="2">
        <v>3.61E-2</v>
      </c>
      <c r="Q3">
        <v>-953.63</v>
      </c>
      <c r="R3" t="str">
        <f>""</f>
        <v/>
      </c>
    </row>
    <row r="4" spans="1:18" x14ac:dyDescent="0.25">
      <c r="A4" s="1">
        <v>46175</v>
      </c>
      <c r="B4" t="str">
        <f>"*Quality All-Cap Dividend Strategy (*DAC)"</f>
        <v>*Quality All-Cap Dividend Strategy (*DAC)</v>
      </c>
      <c r="C4" s="2">
        <v>1.0999999999999999E-2</v>
      </c>
      <c r="D4" t="str">
        <f>"AWR"</f>
        <v>AWR</v>
      </c>
      <c r="E4" t="str">
        <f>"029899101"</f>
        <v>029899101</v>
      </c>
      <c r="F4" t="str">
        <f>"American States Water Co"</f>
        <v>American States Water Co</v>
      </c>
      <c r="G4">
        <v>399</v>
      </c>
      <c r="H4" s="1">
        <v>46175</v>
      </c>
      <c r="I4" s="3">
        <v>30834.720000000001</v>
      </c>
      <c r="J4">
        <v>77.28</v>
      </c>
      <c r="K4">
        <v>76.78</v>
      </c>
      <c r="L4" s="3">
        <v>30635.22</v>
      </c>
      <c r="M4">
        <v>0</v>
      </c>
      <c r="N4">
        <v>0</v>
      </c>
      <c r="O4" t="str">
        <f>""</f>
        <v/>
      </c>
      <c r="P4" s="2">
        <v>0</v>
      </c>
      <c r="Q4">
        <v>199.5</v>
      </c>
      <c r="R4" t="str">
        <f>""</f>
        <v/>
      </c>
    </row>
    <row r="5" spans="1:18" x14ac:dyDescent="0.25">
      <c r="A5" s="1">
        <v>46175</v>
      </c>
      <c r="B5" t="str">
        <f>"*Quality All-Cap Dividend Strategy (*DAC)"</f>
        <v>*Quality All-Cap Dividend Strategy (*DAC)</v>
      </c>
      <c r="C5" s="2">
        <v>3.2500000000000001E-2</v>
      </c>
      <c r="D5" t="str">
        <f>"AMGN"</f>
        <v>AMGN</v>
      </c>
      <c r="E5" t="str">
        <f>"031162100"</f>
        <v>031162100</v>
      </c>
      <c r="F5" t="str">
        <f>"Amgen"</f>
        <v>Amgen</v>
      </c>
      <c r="G5">
        <v>277</v>
      </c>
      <c r="H5" s="1">
        <v>42733</v>
      </c>
      <c r="I5" s="3">
        <v>90928.02</v>
      </c>
      <c r="J5">
        <v>328.26</v>
      </c>
      <c r="K5">
        <v>177.77</v>
      </c>
      <c r="L5" s="3">
        <v>49242.23</v>
      </c>
      <c r="M5" s="3">
        <v>2792.16</v>
      </c>
      <c r="N5" s="3">
        <v>14432.68</v>
      </c>
      <c r="O5" s="2">
        <v>5.67E-2</v>
      </c>
      <c r="P5" s="2">
        <v>3.0700000000000002E-2</v>
      </c>
      <c r="Q5" s="3">
        <v>41685.79</v>
      </c>
      <c r="R5" t="str">
        <f>""</f>
        <v/>
      </c>
    </row>
    <row r="6" spans="1:18" x14ac:dyDescent="0.25">
      <c r="A6" s="1">
        <v>46175</v>
      </c>
      <c r="B6" t="str">
        <f>"*Quality All-Cap Dividend Strategy (*DAC)"</f>
        <v>*Quality All-Cap Dividend Strategy (*DAC)</v>
      </c>
      <c r="C6" s="2">
        <v>2.9700000000000001E-2</v>
      </c>
      <c r="D6" t="str">
        <f>"BKH"</f>
        <v>BKH</v>
      </c>
      <c r="E6" t="str">
        <f>"092113109"</f>
        <v>092113109</v>
      </c>
      <c r="F6" t="str">
        <f>"Black Hills"</f>
        <v>Black Hills</v>
      </c>
      <c r="G6" s="3">
        <v>1153</v>
      </c>
      <c r="H6" s="1">
        <v>45051</v>
      </c>
      <c r="I6" s="3">
        <v>83073.649999999994</v>
      </c>
      <c r="J6">
        <v>72.05</v>
      </c>
      <c r="K6">
        <v>60.29</v>
      </c>
      <c r="L6" s="3">
        <v>69519.64</v>
      </c>
      <c r="M6" s="3">
        <v>3242.24</v>
      </c>
      <c r="N6" s="3">
        <v>6257.58</v>
      </c>
      <c r="O6" s="2">
        <v>4.6600000000000003E-2</v>
      </c>
      <c r="P6" s="2">
        <v>3.9E-2</v>
      </c>
      <c r="Q6" s="3">
        <v>13554.01</v>
      </c>
      <c r="R6" t="str">
        <f>""</f>
        <v/>
      </c>
    </row>
    <row r="7" spans="1:18" x14ac:dyDescent="0.25">
      <c r="A7" s="1">
        <v>46175</v>
      </c>
      <c r="B7" t="str">
        <f>"*Quality All-Cap Dividend Strategy (*DAC)"</f>
        <v>*Quality All-Cap Dividend Strategy (*DAC)</v>
      </c>
      <c r="C7" s="2">
        <v>1.15E-2</v>
      </c>
      <c r="D7" t="str">
        <f>"COR"</f>
        <v>COR</v>
      </c>
      <c r="E7" t="str">
        <f>"03073E105"</f>
        <v>03073E105</v>
      </c>
      <c r="F7" t="str">
        <f>"Cencora"</f>
        <v>Cencora</v>
      </c>
      <c r="G7">
        <v>121</v>
      </c>
      <c r="H7" s="1">
        <v>42506</v>
      </c>
      <c r="I7" s="3">
        <v>32045.64</v>
      </c>
      <c r="J7">
        <v>264.83999999999997</v>
      </c>
      <c r="K7">
        <v>80.72</v>
      </c>
      <c r="L7" s="3">
        <v>9766.81</v>
      </c>
      <c r="M7">
        <v>290.39999999999998</v>
      </c>
      <c r="N7">
        <v>716.94</v>
      </c>
      <c r="O7" s="2">
        <v>2.9700000000000001E-2</v>
      </c>
      <c r="P7" s="2">
        <v>9.1000000000000004E-3</v>
      </c>
      <c r="Q7" s="3">
        <v>22278.83</v>
      </c>
      <c r="R7" t="str">
        <f>""</f>
        <v/>
      </c>
    </row>
    <row r="8" spans="1:18" x14ac:dyDescent="0.25">
      <c r="A8" s="1">
        <v>46175</v>
      </c>
      <c r="B8" t="str">
        <f>"*Quality All-Cap Dividend Strategy (*DAC)"</f>
        <v>*Quality All-Cap Dividend Strategy (*DAC)</v>
      </c>
      <c r="C8" s="2">
        <v>1.0500000000000001E-2</v>
      </c>
      <c r="D8" t="str">
        <f>"CNP"</f>
        <v>CNP</v>
      </c>
      <c r="E8" t="str">
        <f>"15189T107"</f>
        <v>15189T107</v>
      </c>
      <c r="F8" t="str">
        <f>"CenterPoint Energy"</f>
        <v>CenterPoint Energy</v>
      </c>
      <c r="G8">
        <v>705</v>
      </c>
      <c r="H8" s="1">
        <v>43223</v>
      </c>
      <c r="I8" s="3">
        <v>29419.65</v>
      </c>
      <c r="J8">
        <v>41.73</v>
      </c>
      <c r="K8">
        <v>23.81</v>
      </c>
      <c r="L8" s="3">
        <v>16783.93</v>
      </c>
      <c r="M8">
        <v>648.6</v>
      </c>
      <c r="N8" s="3">
        <v>6632.12</v>
      </c>
      <c r="O8" s="2">
        <v>3.8600000000000002E-2</v>
      </c>
      <c r="P8" s="2">
        <v>2.1999999999999999E-2</v>
      </c>
      <c r="Q8" s="3">
        <v>12635.72</v>
      </c>
      <c r="R8" t="str">
        <f>""</f>
        <v/>
      </c>
    </row>
    <row r="9" spans="1:18" x14ac:dyDescent="0.25">
      <c r="A9" s="1">
        <v>46175</v>
      </c>
      <c r="B9" t="str">
        <f>"*Quality All-Cap Dividend Strategy (*DAC)"</f>
        <v>*Quality All-Cap Dividend Strategy (*DAC)</v>
      </c>
      <c r="C9" s="2">
        <v>3.1699999999999999E-2</v>
      </c>
      <c r="D9" t="str">
        <f>"CVX"</f>
        <v>CVX</v>
      </c>
      <c r="E9">
        <v>166764100</v>
      </c>
      <c r="F9" t="str">
        <f>"Chevron"</f>
        <v>Chevron</v>
      </c>
      <c r="G9">
        <v>473</v>
      </c>
      <c r="H9" s="1">
        <v>43829</v>
      </c>
      <c r="I9" s="3">
        <v>88711.15</v>
      </c>
      <c r="J9">
        <v>187.55</v>
      </c>
      <c r="K9">
        <v>103.97</v>
      </c>
      <c r="L9" s="3">
        <v>49175.49</v>
      </c>
      <c r="M9" s="3">
        <v>3367.76</v>
      </c>
      <c r="N9" s="3">
        <v>20431.169999999998</v>
      </c>
      <c r="O9" s="2">
        <v>6.8500000000000005E-2</v>
      </c>
      <c r="P9" s="2">
        <v>3.7999999999999999E-2</v>
      </c>
      <c r="Q9" s="3">
        <v>39535.660000000003</v>
      </c>
      <c r="R9" t="str">
        <f>""</f>
        <v/>
      </c>
    </row>
    <row r="10" spans="1:18" x14ac:dyDescent="0.25">
      <c r="A10" s="1">
        <v>46175</v>
      </c>
      <c r="B10" t="str">
        <f>"*Quality All-Cap Dividend Strategy (*DAC)"</f>
        <v>*Quality All-Cap Dividend Strategy (*DAC)</v>
      </c>
      <c r="C10" s="2">
        <v>4.3799999999999999E-2</v>
      </c>
      <c r="D10" t="str">
        <f>"CSCO"</f>
        <v>CSCO</v>
      </c>
      <c r="E10" t="str">
        <f>"17275R102"</f>
        <v>17275R102</v>
      </c>
      <c r="F10" t="str">
        <f>"Cisco Systems"</f>
        <v>Cisco Systems</v>
      </c>
      <c r="G10">
        <v>958</v>
      </c>
      <c r="H10" s="1">
        <v>42369</v>
      </c>
      <c r="I10" s="3">
        <v>122624</v>
      </c>
      <c r="J10">
        <v>128</v>
      </c>
      <c r="K10">
        <v>28.88</v>
      </c>
      <c r="L10" s="3">
        <v>27667.19</v>
      </c>
      <c r="M10" s="3">
        <v>1609.44</v>
      </c>
      <c r="N10" s="3">
        <v>14114.24</v>
      </c>
      <c r="O10" s="2">
        <v>5.8200000000000002E-2</v>
      </c>
      <c r="P10" s="2">
        <v>1.3100000000000001E-2</v>
      </c>
      <c r="Q10" s="3">
        <v>94956.81</v>
      </c>
      <c r="R10" t="str">
        <f>""</f>
        <v/>
      </c>
    </row>
    <row r="11" spans="1:18" x14ac:dyDescent="0.25">
      <c r="A11" s="1">
        <v>46175</v>
      </c>
      <c r="B11" t="str">
        <f>"*Quality All-Cap Dividend Strategy (*DAC)"</f>
        <v>*Quality All-Cap Dividend Strategy (*DAC)</v>
      </c>
      <c r="C11" s="2">
        <v>1.5800000000000002E-2</v>
      </c>
      <c r="D11" t="str">
        <f>"CLX"</f>
        <v>CLX</v>
      </c>
      <c r="E11">
        <v>189054109</v>
      </c>
      <c r="F11" t="str">
        <f>"Clorox"</f>
        <v>Clorox</v>
      </c>
      <c r="G11">
        <v>492</v>
      </c>
      <c r="H11" s="1">
        <v>43223</v>
      </c>
      <c r="I11" s="3">
        <v>44097.96</v>
      </c>
      <c r="J11">
        <v>89.63</v>
      </c>
      <c r="K11">
        <v>119.77</v>
      </c>
      <c r="L11" s="3">
        <v>58925.01</v>
      </c>
      <c r="M11" s="3">
        <v>2440.3200000000002</v>
      </c>
      <c r="N11" s="3">
        <v>7980.76</v>
      </c>
      <c r="O11" s="2">
        <v>4.1399999999999999E-2</v>
      </c>
      <c r="P11" s="2">
        <v>5.5300000000000002E-2</v>
      </c>
      <c r="Q11" s="3">
        <v>-14827.05</v>
      </c>
      <c r="R11" t="str">
        <f>""</f>
        <v/>
      </c>
    </row>
    <row r="12" spans="1:18" x14ac:dyDescent="0.25">
      <c r="A12" s="1">
        <v>46175</v>
      </c>
      <c r="B12" t="str">
        <f>"*Quality All-Cap Dividend Strategy (*DAC)"</f>
        <v>*Quality All-Cap Dividend Strategy (*DAC)</v>
      </c>
      <c r="C12" s="2">
        <v>2.7300000000000001E-2</v>
      </c>
      <c r="D12" t="str">
        <f>"CME"</f>
        <v>CME</v>
      </c>
      <c r="E12" t="str">
        <f>"12572Q105"</f>
        <v>12572Q105</v>
      </c>
      <c r="F12" t="str">
        <f>"CME Group"</f>
        <v>CME Group</v>
      </c>
      <c r="G12">
        <v>305</v>
      </c>
      <c r="H12" s="1">
        <v>45505</v>
      </c>
      <c r="I12" s="3">
        <v>76411.649999999994</v>
      </c>
      <c r="J12">
        <v>250.53</v>
      </c>
      <c r="K12">
        <v>214.99</v>
      </c>
      <c r="L12" s="3">
        <v>65572.460000000006</v>
      </c>
      <c r="M12" s="3">
        <v>3431.25</v>
      </c>
      <c r="N12" s="3">
        <v>5665.85</v>
      </c>
      <c r="O12" s="2">
        <v>5.2299999999999999E-2</v>
      </c>
      <c r="P12" s="2">
        <v>4.4900000000000002E-2</v>
      </c>
      <c r="Q12" s="3">
        <v>10839.19</v>
      </c>
      <c r="R12" t="str">
        <f>""</f>
        <v/>
      </c>
    </row>
    <row r="13" spans="1:18" x14ac:dyDescent="0.25">
      <c r="A13" s="1">
        <v>46175</v>
      </c>
      <c r="B13" t="str">
        <f>"*Quality All-Cap Dividend Strategy (*DAC)"</f>
        <v>*Quality All-Cap Dividend Strategy (*DAC)</v>
      </c>
      <c r="C13" s="2">
        <v>3.1E-2</v>
      </c>
      <c r="D13" t="str">
        <f>"CFR"</f>
        <v>CFR</v>
      </c>
      <c r="E13">
        <v>229899109</v>
      </c>
      <c r="F13" t="str">
        <f>"Cullen/Frost Bankers"</f>
        <v>Cullen/Frost Bankers</v>
      </c>
      <c r="G13">
        <v>640</v>
      </c>
      <c r="H13" s="1">
        <v>42401</v>
      </c>
      <c r="I13" s="3">
        <v>86745.600000000006</v>
      </c>
      <c r="J13">
        <v>135.54</v>
      </c>
      <c r="K13">
        <v>78.94</v>
      </c>
      <c r="L13" s="3">
        <v>50522.83</v>
      </c>
      <c r="M13" s="3">
        <v>2636.8</v>
      </c>
      <c r="N13" s="3">
        <v>10964.69</v>
      </c>
      <c r="O13" s="2">
        <v>5.2200000000000003E-2</v>
      </c>
      <c r="P13" s="2">
        <v>3.04E-2</v>
      </c>
      <c r="Q13" s="3">
        <v>36222.769999999997</v>
      </c>
      <c r="R13" t="str">
        <f>""</f>
        <v/>
      </c>
    </row>
    <row r="14" spans="1:18" x14ac:dyDescent="0.25">
      <c r="A14" s="1">
        <v>46175</v>
      </c>
      <c r="B14" t="str">
        <f>"*Quality All-Cap Dividend Strategy (*DAC)"</f>
        <v>*Quality All-Cap Dividend Strategy (*DAC)</v>
      </c>
      <c r="C14" s="2">
        <v>1.9800000000000002E-2</v>
      </c>
      <c r="D14" t="str">
        <f>"DVN"</f>
        <v>DVN</v>
      </c>
      <c r="E14" t="str">
        <f>"25179M103"</f>
        <v>25179M103</v>
      </c>
      <c r="F14" t="str">
        <f>"Devon Energy"</f>
        <v>Devon Energy</v>
      </c>
      <c r="G14" s="3">
        <v>1201</v>
      </c>
      <c r="H14" s="1">
        <v>45125</v>
      </c>
      <c r="I14" s="3">
        <v>55510.22</v>
      </c>
      <c r="J14">
        <v>46.22</v>
      </c>
      <c r="K14">
        <v>42.04</v>
      </c>
      <c r="L14" s="3">
        <v>50486.3</v>
      </c>
      <c r="M14" s="3">
        <v>1249.04</v>
      </c>
      <c r="N14" s="3">
        <v>2578.41</v>
      </c>
      <c r="O14" s="2">
        <v>2.47E-2</v>
      </c>
      <c r="P14" s="2">
        <v>2.2499999999999999E-2</v>
      </c>
      <c r="Q14" s="3">
        <v>5023.92</v>
      </c>
      <c r="R14" t="str">
        <f>""</f>
        <v/>
      </c>
    </row>
    <row r="15" spans="1:18" x14ac:dyDescent="0.25">
      <c r="A15" s="1">
        <v>46175</v>
      </c>
      <c r="B15" t="str">
        <f>"*Quality All-Cap Dividend Strategy (*DAC)"</f>
        <v>*Quality All-Cap Dividend Strategy (*DAC)</v>
      </c>
      <c r="C15" s="2">
        <v>1.35E-2</v>
      </c>
      <c r="D15" t="str">
        <f>"EMN"</f>
        <v>EMN</v>
      </c>
      <c r="E15">
        <v>277432100</v>
      </c>
      <c r="F15" t="str">
        <f>"Eastman Chemical"</f>
        <v>Eastman Chemical</v>
      </c>
      <c r="G15">
        <v>493</v>
      </c>
      <c r="H15" s="1">
        <v>43509</v>
      </c>
      <c r="I15" s="3">
        <v>37798.31</v>
      </c>
      <c r="J15">
        <v>76.67</v>
      </c>
      <c r="K15">
        <v>76.41</v>
      </c>
      <c r="L15" s="3">
        <v>37669.85</v>
      </c>
      <c r="M15" s="3">
        <v>1656.48</v>
      </c>
      <c r="N15" s="3">
        <v>8427.42</v>
      </c>
      <c r="O15" s="2">
        <v>4.3999999999999997E-2</v>
      </c>
      <c r="P15" s="2">
        <v>4.3799999999999999E-2</v>
      </c>
      <c r="Q15">
        <v>128.46</v>
      </c>
      <c r="R15" t="str">
        <f>""</f>
        <v/>
      </c>
    </row>
    <row r="16" spans="1:18" x14ac:dyDescent="0.25">
      <c r="A16" s="1">
        <v>46175</v>
      </c>
      <c r="B16" t="str">
        <f>"*Quality All-Cap Dividend Strategy (*DAC)"</f>
        <v>*Quality All-Cap Dividend Strategy (*DAC)</v>
      </c>
      <c r="C16" s="2">
        <v>1.4500000000000001E-2</v>
      </c>
      <c r="D16" t="str">
        <f>"ETR"</f>
        <v>ETR</v>
      </c>
      <c r="E16" t="str">
        <f>"29364G103"</f>
        <v>29364G103</v>
      </c>
      <c r="F16" t="str">
        <f>"Entergy"</f>
        <v>Entergy</v>
      </c>
      <c r="G16">
        <v>376</v>
      </c>
      <c r="H16" s="1">
        <v>45203</v>
      </c>
      <c r="I16" s="3">
        <v>40457.599999999999</v>
      </c>
      <c r="J16">
        <v>107.6</v>
      </c>
      <c r="K16">
        <v>45.01</v>
      </c>
      <c r="L16" s="3">
        <v>16922.150000000001</v>
      </c>
      <c r="M16">
        <v>962.56</v>
      </c>
      <c r="N16" s="3">
        <v>5360.76</v>
      </c>
      <c r="O16" s="2">
        <v>5.6899999999999999E-2</v>
      </c>
      <c r="P16" s="2">
        <v>2.3800000000000002E-2</v>
      </c>
      <c r="Q16" s="3">
        <v>23535.45</v>
      </c>
      <c r="R16" t="str">
        <f>""</f>
        <v/>
      </c>
    </row>
    <row r="17" spans="1:18" x14ac:dyDescent="0.25">
      <c r="A17" s="1">
        <v>46175</v>
      </c>
      <c r="B17" t="str">
        <f>"*Quality All-Cap Dividend Strategy (*DAC)"</f>
        <v>*Quality All-Cap Dividend Strategy (*DAC)</v>
      </c>
      <c r="C17" s="2">
        <v>2.9600000000000001E-2</v>
      </c>
      <c r="D17" t="str">
        <f>"XOM"</f>
        <v>XOM</v>
      </c>
      <c r="E17" t="str">
        <f>"30231G102"</f>
        <v>30231G102</v>
      </c>
      <c r="F17" t="str">
        <f>"Exxon Mobil"</f>
        <v>Exxon Mobil</v>
      </c>
      <c r="G17">
        <v>553</v>
      </c>
      <c r="H17" s="1">
        <v>43711</v>
      </c>
      <c r="I17" s="3">
        <v>82706.679999999993</v>
      </c>
      <c r="J17">
        <v>149.56</v>
      </c>
      <c r="K17">
        <v>60.04</v>
      </c>
      <c r="L17" s="3">
        <v>33202.089999999997</v>
      </c>
      <c r="M17" s="3">
        <v>2278.36</v>
      </c>
      <c r="N17" s="3">
        <v>16497.240000000002</v>
      </c>
      <c r="O17" s="2">
        <v>6.8599999999999994E-2</v>
      </c>
      <c r="P17" s="2">
        <v>2.75E-2</v>
      </c>
      <c r="Q17" s="3">
        <v>49504.59</v>
      </c>
      <c r="R17" t="str">
        <f>""</f>
        <v/>
      </c>
    </row>
    <row r="18" spans="1:18" x14ac:dyDescent="0.25">
      <c r="A18" s="1">
        <v>46175</v>
      </c>
      <c r="B18" t="str">
        <f>"*Quality All-Cap Dividend Strategy (*DAC)"</f>
        <v>*Quality All-Cap Dividend Strategy (*DAC)</v>
      </c>
      <c r="C18" s="2">
        <v>2.2100000000000002E-2</v>
      </c>
      <c r="D18" t="str">
        <f>"GD"</f>
        <v>GD</v>
      </c>
      <c r="E18">
        <v>369550108</v>
      </c>
      <c r="F18" t="str">
        <f>"General Dynamics"</f>
        <v>General Dynamics</v>
      </c>
      <c r="G18">
        <v>183</v>
      </c>
      <c r="H18" s="1">
        <v>44239</v>
      </c>
      <c r="I18" s="3">
        <v>61782.63</v>
      </c>
      <c r="J18">
        <v>337.61</v>
      </c>
      <c r="K18">
        <v>179.59</v>
      </c>
      <c r="L18" s="3">
        <v>32864.14</v>
      </c>
      <c r="M18" s="3">
        <v>1163.8800000000001</v>
      </c>
      <c r="N18" s="3">
        <v>6317.71</v>
      </c>
      <c r="O18" s="2">
        <v>3.5400000000000001E-2</v>
      </c>
      <c r="P18" s="2">
        <v>1.8800000000000001E-2</v>
      </c>
      <c r="Q18" s="3">
        <v>28918.49</v>
      </c>
      <c r="R18" t="str">
        <f>""</f>
        <v/>
      </c>
    </row>
    <row r="19" spans="1:18" x14ac:dyDescent="0.25">
      <c r="A19" s="1">
        <v>46175</v>
      </c>
      <c r="B19" t="str">
        <f>"*Quality All-Cap Dividend Strategy (*DAC)"</f>
        <v>*Quality All-Cap Dividend Strategy (*DAC)</v>
      </c>
      <c r="C19" s="2">
        <v>1.29E-2</v>
      </c>
      <c r="D19" t="str">
        <f>"HD"</f>
        <v>HD</v>
      </c>
      <c r="E19">
        <v>437076102</v>
      </c>
      <c r="F19" t="str">
        <f>"Home Depot"</f>
        <v>Home Depot</v>
      </c>
      <c r="G19">
        <v>116</v>
      </c>
      <c r="H19" s="1">
        <v>45104</v>
      </c>
      <c r="I19" s="3">
        <v>36136.32</v>
      </c>
      <c r="J19">
        <v>311.52</v>
      </c>
      <c r="K19">
        <v>306.81</v>
      </c>
      <c r="L19" s="3">
        <v>35589.919999999998</v>
      </c>
      <c r="M19" s="3">
        <v>1081.1199999999999</v>
      </c>
      <c r="N19" s="3">
        <v>2799.48</v>
      </c>
      <c r="O19" s="2">
        <v>3.04E-2</v>
      </c>
      <c r="P19" s="2">
        <v>2.9899999999999999E-2</v>
      </c>
      <c r="Q19">
        <v>546.4</v>
      </c>
      <c r="R19" t="str">
        <f>""</f>
        <v/>
      </c>
    </row>
    <row r="20" spans="1:18" x14ac:dyDescent="0.25">
      <c r="A20" s="1">
        <v>46175</v>
      </c>
      <c r="B20" t="str">
        <f>"*Quality All-Cap Dividend Strategy (*DAC)"</f>
        <v>*Quality All-Cap Dividend Strategy (*DAC)</v>
      </c>
      <c r="C20" s="2">
        <v>1.0800000000000001E-2</v>
      </c>
      <c r="D20" t="str">
        <f>"HRL"</f>
        <v>HRL</v>
      </c>
      <c r="E20">
        <v>440452100</v>
      </c>
      <c r="F20" t="str">
        <f>"Hormel Foods"</f>
        <v>Hormel Foods</v>
      </c>
      <c r="G20" s="3">
        <v>1297</v>
      </c>
      <c r="H20" s="1">
        <v>45251</v>
      </c>
      <c r="I20" s="3">
        <v>30284.95</v>
      </c>
      <c r="J20">
        <v>23.35</v>
      </c>
      <c r="K20">
        <v>31.81</v>
      </c>
      <c r="L20" s="3">
        <v>41251.57</v>
      </c>
      <c r="M20" s="3">
        <v>1517.49</v>
      </c>
      <c r="N20" s="3">
        <v>3534.26</v>
      </c>
      <c r="O20" s="2">
        <v>3.6799999999999999E-2</v>
      </c>
      <c r="P20" s="2">
        <v>5.0099999999999999E-2</v>
      </c>
      <c r="Q20" s="3">
        <v>-10966.62</v>
      </c>
      <c r="R20" t="str">
        <f>""</f>
        <v/>
      </c>
    </row>
    <row r="21" spans="1:18" x14ac:dyDescent="0.25">
      <c r="A21" s="1">
        <v>46175</v>
      </c>
      <c r="B21" t="str">
        <f>"*Quality All-Cap Dividend Strategy (*DAC)"</f>
        <v>*Quality All-Cap Dividend Strategy (*DAC)</v>
      </c>
      <c r="C21" s="2">
        <v>6.7999999999999996E-3</v>
      </c>
      <c r="D21" t="str">
        <f>"HII"</f>
        <v>HII</v>
      </c>
      <c r="E21">
        <v>446413106</v>
      </c>
      <c r="F21" t="str">
        <f>"Huntington Ingalls"</f>
        <v>Huntington Ingalls</v>
      </c>
      <c r="G21">
        <v>65</v>
      </c>
      <c r="H21" s="1">
        <v>44183</v>
      </c>
      <c r="I21" s="3">
        <v>19087.900000000001</v>
      </c>
      <c r="J21">
        <v>293.66000000000003</v>
      </c>
      <c r="K21">
        <v>196.7</v>
      </c>
      <c r="L21" s="3">
        <v>12785.78</v>
      </c>
      <c r="M21">
        <v>358.8</v>
      </c>
      <c r="N21" s="3">
        <v>4560.78</v>
      </c>
      <c r="O21" s="2">
        <v>2.81E-2</v>
      </c>
      <c r="P21" s="2">
        <v>1.8800000000000001E-2</v>
      </c>
      <c r="Q21" s="3">
        <v>6302.12</v>
      </c>
      <c r="R21" t="str">
        <f>""</f>
        <v/>
      </c>
    </row>
    <row r="22" spans="1:18" x14ac:dyDescent="0.25">
      <c r="A22" s="1">
        <v>46175</v>
      </c>
      <c r="B22" t="str">
        <f>"*Quality All-Cap Dividend Strategy (*DAC)"</f>
        <v>*Quality All-Cap Dividend Strategy (*DAC)</v>
      </c>
      <c r="C22" s="2">
        <v>9.2999999999999992E-3</v>
      </c>
      <c r="D22" t="str">
        <f>"INGR"</f>
        <v>INGR</v>
      </c>
      <c r="E22">
        <v>457187102</v>
      </c>
      <c r="F22" t="str">
        <f>"Ingredion"</f>
        <v>Ingredion</v>
      </c>
      <c r="G22">
        <v>257</v>
      </c>
      <c r="H22" s="1">
        <v>43746</v>
      </c>
      <c r="I22" s="3">
        <v>25987.84</v>
      </c>
      <c r="J22">
        <v>101.12</v>
      </c>
      <c r="K22">
        <v>80.260000000000005</v>
      </c>
      <c r="L22" s="3">
        <v>20627.78</v>
      </c>
      <c r="M22">
        <v>842.96</v>
      </c>
      <c r="N22" s="3">
        <v>4696.43</v>
      </c>
      <c r="O22" s="2">
        <v>4.0899999999999999E-2</v>
      </c>
      <c r="P22" s="2">
        <v>3.2399999999999998E-2</v>
      </c>
      <c r="Q22" s="3">
        <v>5360.06</v>
      </c>
      <c r="R22" t="str">
        <f>""</f>
        <v/>
      </c>
    </row>
    <row r="23" spans="1:18" x14ac:dyDescent="0.25">
      <c r="A23" s="1">
        <v>46175</v>
      </c>
      <c r="B23" t="str">
        <f>"*Quality All-Cap Dividend Strategy (*DAC)"</f>
        <v>*Quality All-Cap Dividend Strategy (*DAC)</v>
      </c>
      <c r="C23" s="2">
        <v>1.5100000000000001E-2</v>
      </c>
      <c r="D23" t="str">
        <f>"JKHY"</f>
        <v>JKHY</v>
      </c>
      <c r="E23">
        <v>426281101</v>
      </c>
      <c r="F23" t="str">
        <f>"Jack Henry &amp; Associates"</f>
        <v>Jack Henry &amp; Associates</v>
      </c>
      <c r="G23">
        <v>310</v>
      </c>
      <c r="H23" s="1">
        <v>44071</v>
      </c>
      <c r="I23" s="3">
        <v>42169.3</v>
      </c>
      <c r="J23">
        <v>136.03</v>
      </c>
      <c r="K23">
        <v>153.01</v>
      </c>
      <c r="L23" s="3">
        <v>47432.14</v>
      </c>
      <c r="M23">
        <v>756.4</v>
      </c>
      <c r="N23" s="3">
        <v>2544.9699999999998</v>
      </c>
      <c r="O23" s="2">
        <v>1.5900000000000001E-2</v>
      </c>
      <c r="P23" s="2">
        <v>1.7899999999999999E-2</v>
      </c>
      <c r="Q23" s="3">
        <v>-5262.84</v>
      </c>
      <c r="R23" t="str">
        <f>""</f>
        <v/>
      </c>
    </row>
    <row r="24" spans="1:18" x14ac:dyDescent="0.25">
      <c r="A24" s="1">
        <v>46175</v>
      </c>
      <c r="B24" t="str">
        <f>"*Quality All-Cap Dividend Strategy (*DAC)"</f>
        <v>*Quality All-Cap Dividend Strategy (*DAC)</v>
      </c>
      <c r="C24" s="2">
        <v>2.7199999999999998E-2</v>
      </c>
      <c r="D24" t="str">
        <f>"JNJ"</f>
        <v>JNJ</v>
      </c>
      <c r="E24">
        <v>478160104</v>
      </c>
      <c r="F24" t="str">
        <f>"Johnson &amp; Johnson"</f>
        <v>Johnson &amp; Johnson</v>
      </c>
      <c r="G24">
        <v>341</v>
      </c>
      <c r="H24" s="1">
        <v>42369</v>
      </c>
      <c r="I24" s="3">
        <v>76005.490000000005</v>
      </c>
      <c r="J24">
        <v>222.89</v>
      </c>
      <c r="K24">
        <v>102.72</v>
      </c>
      <c r="L24" s="3">
        <v>35027.519999999997</v>
      </c>
      <c r="M24" s="3">
        <v>1827.76</v>
      </c>
      <c r="N24" s="3">
        <v>14468.63</v>
      </c>
      <c r="O24" s="2">
        <v>5.2200000000000003E-2</v>
      </c>
      <c r="P24" s="2">
        <v>2.4E-2</v>
      </c>
      <c r="Q24" s="3">
        <v>40977.97</v>
      </c>
      <c r="R24" t="str">
        <f>""</f>
        <v/>
      </c>
    </row>
    <row r="25" spans="1:18" x14ac:dyDescent="0.25">
      <c r="A25" s="1">
        <v>46175</v>
      </c>
      <c r="B25" t="str">
        <f>"*Quality All-Cap Dividend Strategy (*DAC)"</f>
        <v>*Quality All-Cap Dividend Strategy (*DAC)</v>
      </c>
      <c r="C25" s="2">
        <v>2.1899999999999999E-2</v>
      </c>
      <c r="D25" t="str">
        <f>"JPM"</f>
        <v>JPM</v>
      </c>
      <c r="E25" t="str">
        <f>"46625H100"</f>
        <v>46625H100</v>
      </c>
      <c r="F25" t="str">
        <f>"JPMorgan Chase"</f>
        <v>JPMorgan Chase</v>
      </c>
      <c r="G25">
        <v>204</v>
      </c>
      <c r="H25" s="1">
        <v>42998</v>
      </c>
      <c r="I25" s="3">
        <v>61395.839999999997</v>
      </c>
      <c r="J25">
        <v>300.95999999999998</v>
      </c>
      <c r="K25">
        <v>101.2</v>
      </c>
      <c r="L25" s="3">
        <v>20645.5</v>
      </c>
      <c r="M25" s="3">
        <v>1224</v>
      </c>
      <c r="N25" s="3">
        <v>12201.34</v>
      </c>
      <c r="O25" s="2">
        <v>5.9299999999999999E-2</v>
      </c>
      <c r="P25" s="2">
        <v>1.9900000000000001E-2</v>
      </c>
      <c r="Q25" s="3">
        <v>40750.339999999997</v>
      </c>
      <c r="R25" t="str">
        <f>""</f>
        <v/>
      </c>
    </row>
    <row r="26" spans="1:18" x14ac:dyDescent="0.25">
      <c r="A26" s="1">
        <v>46175</v>
      </c>
      <c r="B26" t="str">
        <f>"*Quality All-Cap Dividend Strategy (*DAC)"</f>
        <v>*Quality All-Cap Dividend Strategy (*DAC)</v>
      </c>
      <c r="C26" s="2">
        <v>1.3899999999999999E-2</v>
      </c>
      <c r="D26" t="str">
        <f>"LECO"</f>
        <v>LECO</v>
      </c>
      <c r="E26">
        <v>533900106</v>
      </c>
      <c r="F26" t="str">
        <f>"Lincoln Electric"</f>
        <v>Lincoln Electric</v>
      </c>
      <c r="G26">
        <v>153</v>
      </c>
      <c r="H26" s="1">
        <v>42369</v>
      </c>
      <c r="I26" s="3">
        <v>38904.839999999997</v>
      </c>
      <c r="J26">
        <v>254.28</v>
      </c>
      <c r="K26">
        <v>69.36</v>
      </c>
      <c r="L26" s="3">
        <v>10612.17</v>
      </c>
      <c r="M26">
        <v>483.48</v>
      </c>
      <c r="N26" s="3">
        <v>3561.98</v>
      </c>
      <c r="O26" s="2">
        <v>4.5600000000000002E-2</v>
      </c>
      <c r="P26" s="2">
        <v>1.24E-2</v>
      </c>
      <c r="Q26" s="3">
        <v>28292.67</v>
      </c>
      <c r="R26" t="str">
        <f>""</f>
        <v/>
      </c>
    </row>
    <row r="27" spans="1:18" x14ac:dyDescent="0.25">
      <c r="A27" s="1">
        <v>46175</v>
      </c>
      <c r="B27" t="str">
        <f>"*Quality All-Cap Dividend Strategy (*DAC)"</f>
        <v>*Quality All-Cap Dividend Strategy (*DAC)</v>
      </c>
      <c r="C27" s="2">
        <v>2.1600000000000001E-2</v>
      </c>
      <c r="D27" t="str">
        <f>"MKC"</f>
        <v>MKC</v>
      </c>
      <c r="E27">
        <v>579780206</v>
      </c>
      <c r="F27" t="str">
        <f>"McCormick &amp; Co."</f>
        <v>McCormick &amp; Co.</v>
      </c>
      <c r="G27" s="3">
        <v>1311</v>
      </c>
      <c r="H27" s="1">
        <v>45980</v>
      </c>
      <c r="I27" s="3">
        <v>60502.65</v>
      </c>
      <c r="J27">
        <v>46.15</v>
      </c>
      <c r="K27">
        <v>66.92</v>
      </c>
      <c r="L27" s="3">
        <v>87733.24</v>
      </c>
      <c r="M27" s="3">
        <v>2517.12</v>
      </c>
      <c r="N27">
        <v>924.96</v>
      </c>
      <c r="O27" s="2">
        <v>2.87E-2</v>
      </c>
      <c r="P27" s="2">
        <v>4.1599999999999998E-2</v>
      </c>
      <c r="Q27" s="3">
        <v>-27230.59</v>
      </c>
      <c r="R27" t="str">
        <f>""</f>
        <v/>
      </c>
    </row>
    <row r="28" spans="1:18" x14ac:dyDescent="0.25">
      <c r="A28" s="1">
        <v>46175</v>
      </c>
      <c r="B28" t="str">
        <f>"*Quality All-Cap Dividend Strategy (*DAC)"</f>
        <v>*Quality All-Cap Dividend Strategy (*DAC)</v>
      </c>
      <c r="C28" s="2">
        <v>1.7299999999999999E-2</v>
      </c>
      <c r="D28" t="str">
        <f>"MDT"</f>
        <v>MDT</v>
      </c>
      <c r="E28" t="str">
        <f>"G5960L103"</f>
        <v>G5960L103</v>
      </c>
      <c r="F28" t="str">
        <f>"Medtronic"</f>
        <v>Medtronic</v>
      </c>
      <c r="G28">
        <v>656</v>
      </c>
      <c r="H28" s="1">
        <v>43984</v>
      </c>
      <c r="I28" s="3">
        <v>48380</v>
      </c>
      <c r="J28">
        <v>73.75</v>
      </c>
      <c r="K28">
        <v>96.05</v>
      </c>
      <c r="L28" s="3">
        <v>63007.75</v>
      </c>
      <c r="M28" s="3">
        <v>1863.04</v>
      </c>
      <c r="N28" s="3">
        <v>7421.04</v>
      </c>
      <c r="O28" s="2">
        <v>2.9600000000000001E-2</v>
      </c>
      <c r="P28" s="2">
        <v>3.85E-2</v>
      </c>
      <c r="Q28" s="3">
        <v>-14627.75</v>
      </c>
      <c r="R28" t="str">
        <f>""</f>
        <v/>
      </c>
    </row>
    <row r="29" spans="1:18" x14ac:dyDescent="0.25">
      <c r="A29" s="1">
        <v>46175</v>
      </c>
      <c r="B29" t="str">
        <f>"*Quality All-Cap Dividend Strategy (*DAC)"</f>
        <v>*Quality All-Cap Dividend Strategy (*DAC)</v>
      </c>
      <c r="C29" s="2">
        <v>2.2200000000000001E-2</v>
      </c>
      <c r="D29" t="str">
        <f>"MSFT"</f>
        <v>MSFT</v>
      </c>
      <c r="E29">
        <v>594918104</v>
      </c>
      <c r="F29" t="str">
        <f>"Microsoft"</f>
        <v>Microsoft</v>
      </c>
      <c r="G29">
        <v>141</v>
      </c>
      <c r="H29" s="1">
        <v>42369</v>
      </c>
      <c r="I29" s="3">
        <v>62224.71</v>
      </c>
      <c r="J29">
        <v>441.31</v>
      </c>
      <c r="K29">
        <v>54.64</v>
      </c>
      <c r="L29" s="3">
        <v>7703.98</v>
      </c>
      <c r="M29">
        <v>513.24</v>
      </c>
      <c r="N29" s="3">
        <v>5420.8</v>
      </c>
      <c r="O29" s="2">
        <v>6.6600000000000006E-2</v>
      </c>
      <c r="P29" s="2">
        <v>8.2000000000000007E-3</v>
      </c>
      <c r="Q29" s="3">
        <v>54520.73</v>
      </c>
      <c r="R29" t="str">
        <f>""</f>
        <v/>
      </c>
    </row>
    <row r="30" spans="1:18" x14ac:dyDescent="0.25">
      <c r="A30" s="1">
        <v>46175</v>
      </c>
      <c r="B30" t="str">
        <f>"*Quality All-Cap Dividend Strategy (*DAC)"</f>
        <v>*Quality All-Cap Dividend Strategy (*DAC)</v>
      </c>
      <c r="C30" s="2">
        <v>1.9099999999999999E-2</v>
      </c>
      <c r="D30" t="str">
        <f>"MSM"</f>
        <v>MSM</v>
      </c>
      <c r="E30">
        <v>553530106</v>
      </c>
      <c r="F30" t="str">
        <f>"MSC Industrial"</f>
        <v>MSC Industrial</v>
      </c>
      <c r="G30">
        <v>463</v>
      </c>
      <c r="H30" s="1">
        <v>43353</v>
      </c>
      <c r="I30" s="3">
        <v>53323.71</v>
      </c>
      <c r="J30">
        <v>115.17</v>
      </c>
      <c r="K30">
        <v>72.98</v>
      </c>
      <c r="L30" s="3">
        <v>33787.620000000003</v>
      </c>
      <c r="M30" s="3">
        <v>1611.24</v>
      </c>
      <c r="N30" s="3">
        <v>15956.14</v>
      </c>
      <c r="O30" s="2">
        <v>4.7699999999999999E-2</v>
      </c>
      <c r="P30" s="2">
        <v>3.0200000000000001E-2</v>
      </c>
      <c r="Q30" s="3">
        <v>19536.09</v>
      </c>
      <c r="R30" t="str">
        <f>""</f>
        <v/>
      </c>
    </row>
    <row r="31" spans="1:18" x14ac:dyDescent="0.25">
      <c r="A31" s="1">
        <v>46175</v>
      </c>
      <c r="B31" t="str">
        <f>"*Quality All-Cap Dividend Strategy (*DAC)"</f>
        <v>*Quality All-Cap Dividend Strategy (*DAC)</v>
      </c>
      <c r="C31" s="2">
        <v>9.7999999999999997E-3</v>
      </c>
      <c r="D31" t="str">
        <f>"NKE"</f>
        <v>NKE</v>
      </c>
      <c r="E31">
        <v>654106103</v>
      </c>
      <c r="F31" t="str">
        <f>"Nike"</f>
        <v>Nike</v>
      </c>
      <c r="G31">
        <v>627</v>
      </c>
      <c r="H31" s="1">
        <v>45618</v>
      </c>
      <c r="I31" s="3">
        <v>27418.71</v>
      </c>
      <c r="J31">
        <v>43.73</v>
      </c>
      <c r="K31">
        <v>75.2</v>
      </c>
      <c r="L31" s="3">
        <v>47151.27</v>
      </c>
      <c r="M31" s="3">
        <v>1028.28</v>
      </c>
      <c r="N31" s="3">
        <v>1157.3399999999999</v>
      </c>
      <c r="O31" s="2">
        <v>2.18E-2</v>
      </c>
      <c r="P31" s="2">
        <v>3.7499999999999999E-2</v>
      </c>
      <c r="Q31" s="3">
        <v>-19732.560000000001</v>
      </c>
      <c r="R31" t="str">
        <f>""</f>
        <v/>
      </c>
    </row>
    <row r="32" spans="1:18" x14ac:dyDescent="0.25">
      <c r="A32" s="1">
        <v>46175</v>
      </c>
      <c r="B32" t="str">
        <f>"*Quality All-Cap Dividend Strategy (*DAC)"</f>
        <v>*Quality All-Cap Dividend Strategy (*DAC)</v>
      </c>
      <c r="C32" s="2">
        <v>1.9699999999999999E-2</v>
      </c>
      <c r="D32" t="str">
        <f>"PAYX"</f>
        <v>PAYX</v>
      </c>
      <c r="E32">
        <v>704326107</v>
      </c>
      <c r="F32" t="str">
        <f>"Paychex"</f>
        <v>Paychex</v>
      </c>
      <c r="G32">
        <v>548</v>
      </c>
      <c r="H32" s="1">
        <v>42369</v>
      </c>
      <c r="I32" s="3">
        <v>55232.92</v>
      </c>
      <c r="J32">
        <v>100.79</v>
      </c>
      <c r="K32">
        <v>80.89</v>
      </c>
      <c r="L32" s="3">
        <v>44326.23</v>
      </c>
      <c r="M32" s="3">
        <v>2608.48</v>
      </c>
      <c r="N32" s="3">
        <v>8842.1200000000008</v>
      </c>
      <c r="O32" s="2">
        <v>5.8799999999999998E-2</v>
      </c>
      <c r="P32" s="2">
        <v>4.7199999999999999E-2</v>
      </c>
      <c r="Q32" s="3">
        <v>10906.69</v>
      </c>
      <c r="R32" t="str">
        <f>""</f>
        <v/>
      </c>
    </row>
    <row r="33" spans="1:18" x14ac:dyDescent="0.25">
      <c r="A33" s="1">
        <v>46175</v>
      </c>
      <c r="B33" t="str">
        <f>"*Quality All-Cap Dividend Strategy (*DAC)"</f>
        <v>*Quality All-Cap Dividend Strategy (*DAC)</v>
      </c>
      <c r="C33" s="2">
        <v>2.0199999999999999E-2</v>
      </c>
      <c r="D33" t="str">
        <f>"PEP"</f>
        <v>PEP</v>
      </c>
      <c r="E33">
        <v>713448108</v>
      </c>
      <c r="F33" t="str">
        <f>"Pepsi"</f>
        <v>Pepsi</v>
      </c>
      <c r="G33">
        <v>398</v>
      </c>
      <c r="H33" s="1">
        <v>43258</v>
      </c>
      <c r="I33" s="3">
        <v>56516</v>
      </c>
      <c r="J33">
        <v>142</v>
      </c>
      <c r="K33">
        <v>125.34</v>
      </c>
      <c r="L33" s="3">
        <v>49886.61</v>
      </c>
      <c r="M33" s="3">
        <v>2356.16</v>
      </c>
      <c r="N33" s="3">
        <v>7429.37</v>
      </c>
      <c r="O33" s="2">
        <v>4.7199999999999999E-2</v>
      </c>
      <c r="P33" s="2">
        <v>4.1700000000000001E-2</v>
      </c>
      <c r="Q33" s="3">
        <v>6629.39</v>
      </c>
      <c r="R33" t="str">
        <f>""</f>
        <v/>
      </c>
    </row>
    <row r="34" spans="1:18" x14ac:dyDescent="0.25">
      <c r="A34" s="1">
        <v>46175</v>
      </c>
      <c r="B34" t="str">
        <f>"*Quality All-Cap Dividend Strategy (*DAC)"</f>
        <v>*Quality All-Cap Dividend Strategy (*DAC)</v>
      </c>
      <c r="C34" s="2">
        <v>1.5900000000000001E-2</v>
      </c>
      <c r="D34" t="str">
        <f>"PFE"</f>
        <v>PFE</v>
      </c>
      <c r="E34">
        <v>717081103</v>
      </c>
      <c r="F34" t="str">
        <f>"Pfizer"</f>
        <v>Pfizer</v>
      </c>
      <c r="G34" s="3">
        <v>1740</v>
      </c>
      <c r="H34" s="1">
        <v>42417</v>
      </c>
      <c r="I34" s="3">
        <v>44457</v>
      </c>
      <c r="J34">
        <v>25.55</v>
      </c>
      <c r="K34">
        <v>28.54</v>
      </c>
      <c r="L34" s="3">
        <v>49666.38</v>
      </c>
      <c r="M34" s="3">
        <v>2992.8</v>
      </c>
      <c r="N34" s="3">
        <v>18932.849999999999</v>
      </c>
      <c r="O34" s="2">
        <v>6.0299999999999999E-2</v>
      </c>
      <c r="P34" s="2">
        <v>6.7299999999999999E-2</v>
      </c>
      <c r="Q34" s="3">
        <v>-5209.38</v>
      </c>
      <c r="R34" t="str">
        <f>""</f>
        <v/>
      </c>
    </row>
    <row r="35" spans="1:18" x14ac:dyDescent="0.25">
      <c r="A35" s="1">
        <v>46175</v>
      </c>
      <c r="B35" t="str">
        <f>"*Quality All-Cap Dividend Strategy (*DAC)"</f>
        <v>*Quality All-Cap Dividend Strategy (*DAC)</v>
      </c>
      <c r="C35" s="2">
        <v>1.6799999999999999E-2</v>
      </c>
      <c r="D35" t="str">
        <f>"PSX"</f>
        <v>PSX</v>
      </c>
      <c r="E35">
        <v>718546104</v>
      </c>
      <c r="F35" t="str">
        <f>"Phillips 66"</f>
        <v>Phillips 66</v>
      </c>
      <c r="G35">
        <v>257</v>
      </c>
      <c r="H35" s="1">
        <v>44701</v>
      </c>
      <c r="I35" s="3">
        <v>46917.919999999998</v>
      </c>
      <c r="J35">
        <v>182.56</v>
      </c>
      <c r="K35">
        <v>93.14</v>
      </c>
      <c r="L35" s="3">
        <v>23935.73</v>
      </c>
      <c r="M35" s="3">
        <v>1305.56</v>
      </c>
      <c r="N35" s="3">
        <v>5364.52</v>
      </c>
      <c r="O35" s="2">
        <v>5.45E-2</v>
      </c>
      <c r="P35" s="2">
        <v>2.7799999999999998E-2</v>
      </c>
      <c r="Q35" s="3">
        <v>22982.19</v>
      </c>
      <c r="R35" t="str">
        <f>""</f>
        <v/>
      </c>
    </row>
    <row r="36" spans="1:18" x14ac:dyDescent="0.25">
      <c r="A36" s="1">
        <v>46175</v>
      </c>
      <c r="B36" t="str">
        <f>"*Quality All-Cap Dividend Strategy (*DAC)"</f>
        <v>*Quality All-Cap Dividend Strategy (*DAC)</v>
      </c>
      <c r="C36" s="2">
        <v>1.7399999999999999E-2</v>
      </c>
      <c r="D36" t="str">
        <f>"POR"</f>
        <v>POR</v>
      </c>
      <c r="E36">
        <v>736508847</v>
      </c>
      <c r="F36" t="str">
        <f>"Portland General Electric Co"</f>
        <v>Portland General Electric Co</v>
      </c>
      <c r="G36">
        <v>984</v>
      </c>
      <c r="H36" s="1">
        <v>45845</v>
      </c>
      <c r="I36" s="3">
        <v>48698.16</v>
      </c>
      <c r="J36">
        <v>49.49</v>
      </c>
      <c r="K36">
        <v>40.96</v>
      </c>
      <c r="L36" s="3">
        <v>40305.599999999999</v>
      </c>
      <c r="M36" s="3">
        <v>2169.7199999999998</v>
      </c>
      <c r="N36" s="3">
        <v>1549.82</v>
      </c>
      <c r="O36" s="2">
        <v>5.3800000000000001E-2</v>
      </c>
      <c r="P36" s="2">
        <v>4.4600000000000001E-2</v>
      </c>
      <c r="Q36" s="3">
        <v>8392.56</v>
      </c>
      <c r="R36" t="str">
        <f>""</f>
        <v/>
      </c>
    </row>
    <row r="37" spans="1:18" x14ac:dyDescent="0.25">
      <c r="A37" s="1">
        <v>46175</v>
      </c>
      <c r="B37" t="str">
        <f>"*Quality All-Cap Dividend Strategy (*DAC)"</f>
        <v>*Quality All-Cap Dividend Strategy (*DAC)</v>
      </c>
      <c r="C37" s="2">
        <v>1.2800000000000001E-2</v>
      </c>
      <c r="D37" t="str">
        <f>"PFG"</f>
        <v>PFG</v>
      </c>
      <c r="E37" t="str">
        <f>"74251V102"</f>
        <v>74251V102</v>
      </c>
      <c r="F37" t="str">
        <f>"Principal Financial"</f>
        <v>Principal Financial</v>
      </c>
      <c r="G37">
        <v>346</v>
      </c>
      <c r="H37" s="1">
        <v>42369</v>
      </c>
      <c r="I37" s="3">
        <v>35745.26</v>
      </c>
      <c r="J37">
        <v>103.31</v>
      </c>
      <c r="K37">
        <v>43.58</v>
      </c>
      <c r="L37" s="3">
        <v>15077.9</v>
      </c>
      <c r="M37" s="3">
        <v>1134.8800000000001</v>
      </c>
      <c r="N37" s="3">
        <v>8941.74</v>
      </c>
      <c r="O37" s="2">
        <v>7.5300000000000006E-2</v>
      </c>
      <c r="P37" s="2">
        <v>3.1699999999999999E-2</v>
      </c>
      <c r="Q37" s="3">
        <v>20667.36</v>
      </c>
      <c r="R37" t="str">
        <f>""</f>
        <v/>
      </c>
    </row>
    <row r="38" spans="1:18" x14ac:dyDescent="0.25">
      <c r="A38" s="1">
        <v>46175</v>
      </c>
      <c r="B38" t="str">
        <f>"*Quality All-Cap Dividend Strategy (*DAC)"</f>
        <v>*Quality All-Cap Dividend Strategy (*DAC)</v>
      </c>
      <c r="C38" s="2">
        <v>2.64E-2</v>
      </c>
      <c r="D38" t="str">
        <f>"PG"</f>
        <v>PG</v>
      </c>
      <c r="E38">
        <v>742718109</v>
      </c>
      <c r="F38" t="str">
        <f>"Procter &amp; Gamble"</f>
        <v>Procter &amp; Gamble</v>
      </c>
      <c r="G38">
        <v>525</v>
      </c>
      <c r="H38" s="1">
        <v>42369</v>
      </c>
      <c r="I38" s="3">
        <v>73930.5</v>
      </c>
      <c r="J38">
        <v>140.82</v>
      </c>
      <c r="K38">
        <v>106.36</v>
      </c>
      <c r="L38" s="3">
        <v>55840.19</v>
      </c>
      <c r="M38" s="3">
        <v>2285.85</v>
      </c>
      <c r="N38" s="3">
        <v>9952.41</v>
      </c>
      <c r="O38" s="2">
        <v>4.0899999999999999E-2</v>
      </c>
      <c r="P38" s="2">
        <v>3.09E-2</v>
      </c>
      <c r="Q38" s="3">
        <v>18090.310000000001</v>
      </c>
      <c r="R38" t="str">
        <f>""</f>
        <v/>
      </c>
    </row>
    <row r="39" spans="1:18" x14ac:dyDescent="0.25">
      <c r="A39" s="1">
        <v>46175</v>
      </c>
      <c r="B39" t="str">
        <f>"*Quality All-Cap Dividend Strategy (*DAC)"</f>
        <v>*Quality All-Cap Dividend Strategy (*DAC)</v>
      </c>
      <c r="C39" s="2">
        <v>1.9E-2</v>
      </c>
      <c r="D39" t="str">
        <f>"PEG"</f>
        <v>PEG</v>
      </c>
      <c r="E39">
        <v>744573106</v>
      </c>
      <c r="F39" t="str">
        <f>"Public Service Enterprise Group"</f>
        <v>Public Service Enterprise Group</v>
      </c>
      <c r="G39">
        <v>678</v>
      </c>
      <c r="H39" s="1">
        <v>46175</v>
      </c>
      <c r="I39" s="3">
        <v>53100.959999999999</v>
      </c>
      <c r="J39">
        <v>78.319999999999993</v>
      </c>
      <c r="K39">
        <v>78.03</v>
      </c>
      <c r="L39" s="3">
        <v>52904.34</v>
      </c>
      <c r="M39" s="3">
        <v>1817.04</v>
      </c>
      <c r="N39">
        <v>0</v>
      </c>
      <c r="O39" s="2">
        <v>3.4299999999999997E-2</v>
      </c>
      <c r="P39" s="2">
        <v>3.4200000000000001E-2</v>
      </c>
      <c r="Q39">
        <v>196.62</v>
      </c>
      <c r="R39" t="str">
        <f>""</f>
        <v/>
      </c>
    </row>
    <row r="40" spans="1:18" x14ac:dyDescent="0.25">
      <c r="A40" s="1">
        <v>46175</v>
      </c>
      <c r="B40" t="str">
        <f>"*Quality All-Cap Dividend Strategy (*DAC)"</f>
        <v>*Quality All-Cap Dividend Strategy (*DAC)</v>
      </c>
      <c r="C40" s="2">
        <v>1.8499999999999999E-2</v>
      </c>
      <c r="D40" t="str">
        <f>"DGX"</f>
        <v>DGX</v>
      </c>
      <c r="E40" t="str">
        <f>"74834L100"</f>
        <v>74834L100</v>
      </c>
      <c r="F40" t="str">
        <f>"Quest Diagnostics"</f>
        <v>Quest Diagnostics</v>
      </c>
      <c r="G40">
        <v>268</v>
      </c>
      <c r="H40" s="1">
        <v>42369</v>
      </c>
      <c r="I40" s="3">
        <v>51766.879999999997</v>
      </c>
      <c r="J40">
        <v>193.16</v>
      </c>
      <c r="K40">
        <v>78.25</v>
      </c>
      <c r="L40" s="3">
        <v>20972.03</v>
      </c>
      <c r="M40">
        <v>921.92</v>
      </c>
      <c r="N40" s="3">
        <v>6239.85</v>
      </c>
      <c r="O40" s="2">
        <v>4.3999999999999997E-2</v>
      </c>
      <c r="P40" s="2">
        <v>1.78E-2</v>
      </c>
      <c r="Q40" s="3">
        <v>30794.85</v>
      </c>
      <c r="R40" t="str">
        <f>""</f>
        <v/>
      </c>
    </row>
    <row r="41" spans="1:18" x14ac:dyDescent="0.25">
      <c r="A41" s="1">
        <v>46175</v>
      </c>
      <c r="B41" t="str">
        <f>"*Quality All-Cap Dividend Strategy (*DAC)"</f>
        <v>*Quality All-Cap Dividend Strategy (*DAC)</v>
      </c>
      <c r="C41" s="2">
        <v>2.1600000000000001E-2</v>
      </c>
      <c r="D41" t="str">
        <f>"O"</f>
        <v>O</v>
      </c>
      <c r="E41">
        <v>756109104</v>
      </c>
      <c r="F41" t="str">
        <f>"Realty Income"</f>
        <v>Realty Income</v>
      </c>
      <c r="G41" s="3">
        <v>1010</v>
      </c>
      <c r="H41" s="1">
        <v>45362</v>
      </c>
      <c r="I41" s="3">
        <v>60509.1</v>
      </c>
      <c r="J41">
        <v>59.91</v>
      </c>
      <c r="K41">
        <v>55.77</v>
      </c>
      <c r="L41" s="3">
        <v>56330.78</v>
      </c>
      <c r="M41" s="3">
        <v>3278.46</v>
      </c>
      <c r="N41" s="3">
        <v>5827.95</v>
      </c>
      <c r="O41" s="2">
        <v>5.8200000000000002E-2</v>
      </c>
      <c r="P41" s="2">
        <v>5.4199999999999998E-2</v>
      </c>
      <c r="Q41" s="3">
        <v>4178.32</v>
      </c>
      <c r="R41" t="str">
        <f>""</f>
        <v/>
      </c>
    </row>
    <row r="42" spans="1:18" x14ac:dyDescent="0.25">
      <c r="A42" s="1">
        <v>46175</v>
      </c>
      <c r="B42" t="str">
        <f>"*Quality All-Cap Dividend Strategy (*DAC)"</f>
        <v>*Quality All-Cap Dividend Strategy (*DAC)</v>
      </c>
      <c r="C42" s="2">
        <v>2.1100000000000001E-2</v>
      </c>
      <c r="D42" t="str">
        <f>"RGA"</f>
        <v>RGA</v>
      </c>
      <c r="E42">
        <v>759351604</v>
      </c>
      <c r="F42" t="str">
        <f>"Reinsurance Group of America"</f>
        <v>Reinsurance Group of America</v>
      </c>
      <c r="G42">
        <v>297</v>
      </c>
      <c r="H42" s="1">
        <v>45582</v>
      </c>
      <c r="I42" s="3">
        <v>58915.89</v>
      </c>
      <c r="J42">
        <v>198.37</v>
      </c>
      <c r="K42">
        <v>220.27</v>
      </c>
      <c r="L42" s="3">
        <v>65421.3</v>
      </c>
      <c r="M42" s="3">
        <v>1104.8399999999999</v>
      </c>
      <c r="N42" s="3">
        <v>1115.04</v>
      </c>
      <c r="O42" s="2">
        <v>1.6899999999999998E-2</v>
      </c>
      <c r="P42" s="2">
        <v>1.8800000000000001E-2</v>
      </c>
      <c r="Q42" s="3">
        <v>-6505.41</v>
      </c>
      <c r="R42" t="str">
        <f>""</f>
        <v/>
      </c>
    </row>
    <row r="43" spans="1:18" x14ac:dyDescent="0.25">
      <c r="A43" s="1">
        <v>46175</v>
      </c>
      <c r="B43" t="str">
        <f>"*Quality All-Cap Dividend Strategy (*DAC)"</f>
        <v>*Quality All-Cap Dividend Strategy (*DAC)</v>
      </c>
      <c r="C43" s="2">
        <v>1.2E-2</v>
      </c>
      <c r="D43" t="str">
        <f>"SNA"</f>
        <v>SNA</v>
      </c>
      <c r="E43">
        <v>833034101</v>
      </c>
      <c r="F43" t="str">
        <f>"Snap-On"</f>
        <v>Snap-On</v>
      </c>
      <c r="G43">
        <v>90</v>
      </c>
      <c r="H43" s="1">
        <v>43805</v>
      </c>
      <c r="I43" s="3">
        <v>33520.5</v>
      </c>
      <c r="J43">
        <v>372.45</v>
      </c>
      <c r="K43">
        <v>154.61000000000001</v>
      </c>
      <c r="L43" s="3">
        <v>13915.31</v>
      </c>
      <c r="M43">
        <v>878.4</v>
      </c>
      <c r="N43" s="3">
        <v>4772.18</v>
      </c>
      <c r="O43" s="2">
        <v>6.3100000000000003E-2</v>
      </c>
      <c r="P43" s="2">
        <v>2.6200000000000001E-2</v>
      </c>
      <c r="Q43" s="3">
        <v>19605.189999999999</v>
      </c>
      <c r="R43" t="str">
        <f>""</f>
        <v/>
      </c>
    </row>
    <row r="44" spans="1:18" x14ac:dyDescent="0.25">
      <c r="A44" s="1">
        <v>46175</v>
      </c>
      <c r="B44" t="str">
        <f>"*Quality All-Cap Dividend Strategy (*DAC)"</f>
        <v>*Quality All-Cap Dividend Strategy (*DAC)</v>
      </c>
      <c r="C44" s="2">
        <v>1.0800000000000001E-2</v>
      </c>
      <c r="D44" t="str">
        <f>"SWK"</f>
        <v>SWK</v>
      </c>
      <c r="E44">
        <v>854502101</v>
      </c>
      <c r="F44" t="str">
        <f>"Stanley Black &amp; Decker"</f>
        <v>Stanley Black &amp; Decker</v>
      </c>
      <c r="G44">
        <v>381</v>
      </c>
      <c r="H44" s="1">
        <v>45442</v>
      </c>
      <c r="I44" s="3">
        <v>30152.34</v>
      </c>
      <c r="J44">
        <v>79.14</v>
      </c>
      <c r="K44">
        <v>84.36</v>
      </c>
      <c r="L44" s="3">
        <v>32141.07</v>
      </c>
      <c r="M44" s="3">
        <v>1264.92</v>
      </c>
      <c r="N44" s="3">
        <v>2183.58</v>
      </c>
      <c r="O44" s="2">
        <v>3.9399999999999998E-2</v>
      </c>
      <c r="P44" s="2">
        <v>4.2000000000000003E-2</v>
      </c>
      <c r="Q44" s="3">
        <v>-1988.73</v>
      </c>
      <c r="R44" t="str">
        <f>""</f>
        <v/>
      </c>
    </row>
    <row r="45" spans="1:18" x14ac:dyDescent="0.25">
      <c r="A45" s="1">
        <v>46175</v>
      </c>
      <c r="B45" t="str">
        <f>"*Quality All-Cap Dividend Strategy (*DAC)"</f>
        <v>*Quality All-Cap Dividend Strategy (*DAC)</v>
      </c>
      <c r="C45" s="2">
        <v>1.7899999999999999E-2</v>
      </c>
      <c r="D45" t="str">
        <f>"TROW"</f>
        <v>TROW</v>
      </c>
      <c r="E45" t="str">
        <f>"74144T108"</f>
        <v>74144T108</v>
      </c>
      <c r="F45" t="str">
        <f>"T. Rowe Price"</f>
        <v>T. Rowe Price</v>
      </c>
      <c r="G45">
        <v>480</v>
      </c>
      <c r="H45" s="1">
        <v>44929</v>
      </c>
      <c r="I45" s="3">
        <v>50068.800000000003</v>
      </c>
      <c r="J45">
        <v>104.31</v>
      </c>
      <c r="K45">
        <v>108.14</v>
      </c>
      <c r="L45" s="3">
        <v>51905.69</v>
      </c>
      <c r="M45" s="3">
        <v>2496</v>
      </c>
      <c r="N45" s="3">
        <v>6625.57</v>
      </c>
      <c r="O45" s="2">
        <v>4.8099999999999997E-2</v>
      </c>
      <c r="P45" s="2">
        <v>4.99E-2</v>
      </c>
      <c r="Q45" s="3">
        <v>-1836.89</v>
      </c>
      <c r="R45" t="str">
        <f>""</f>
        <v/>
      </c>
    </row>
    <row r="46" spans="1:18" x14ac:dyDescent="0.25">
      <c r="A46" s="1">
        <v>46175</v>
      </c>
      <c r="B46" t="str">
        <f>"*Quality All-Cap Dividend Strategy (*DAC)"</f>
        <v>*Quality All-Cap Dividend Strategy (*DAC)</v>
      </c>
      <c r="C46" s="2">
        <v>3.4099999999999998E-2</v>
      </c>
      <c r="D46" t="str">
        <f>"TXN"</f>
        <v>TXN</v>
      </c>
      <c r="E46">
        <v>882508104</v>
      </c>
      <c r="F46" t="str">
        <f>"Texas Instruments"</f>
        <v>Texas Instruments</v>
      </c>
      <c r="G46">
        <v>310</v>
      </c>
      <c r="H46" s="1">
        <v>42369</v>
      </c>
      <c r="I46" s="3">
        <v>95517.2</v>
      </c>
      <c r="J46">
        <v>308.12</v>
      </c>
      <c r="K46">
        <v>54.81</v>
      </c>
      <c r="L46" s="3">
        <v>16991.099999999999</v>
      </c>
      <c r="M46" s="3">
        <v>1760.8</v>
      </c>
      <c r="N46" s="3">
        <v>12660.4</v>
      </c>
      <c r="O46" s="2">
        <v>0.1036</v>
      </c>
      <c r="P46" s="2">
        <v>1.84E-2</v>
      </c>
      <c r="Q46" s="3">
        <v>78526.100000000006</v>
      </c>
      <c r="R46" t="str">
        <f>""</f>
        <v/>
      </c>
    </row>
    <row r="47" spans="1:18" x14ac:dyDescent="0.25">
      <c r="A47" s="1">
        <v>46175</v>
      </c>
      <c r="B47" t="str">
        <f>"*Quality All-Cap Dividend Strategy (*DAC)"</f>
        <v>*Quality All-Cap Dividend Strategy (*DAC)</v>
      </c>
      <c r="C47" s="2">
        <v>2.2100000000000002E-2</v>
      </c>
      <c r="D47" t="str">
        <f>"UNP"</f>
        <v>UNP</v>
      </c>
      <c r="E47">
        <v>907818108</v>
      </c>
      <c r="F47" t="str">
        <f>"Union Pacific"</f>
        <v>Union Pacific</v>
      </c>
      <c r="G47">
        <v>234</v>
      </c>
      <c r="H47" s="1">
        <v>45092</v>
      </c>
      <c r="I47" s="3">
        <v>61935.12</v>
      </c>
      <c r="J47">
        <v>264.68</v>
      </c>
      <c r="K47">
        <v>213.43</v>
      </c>
      <c r="L47" s="3">
        <v>49942.38</v>
      </c>
      <c r="M47" s="3">
        <v>1291.68</v>
      </c>
      <c r="N47" s="3">
        <v>2556.2399999999998</v>
      </c>
      <c r="O47" s="2">
        <v>2.5899999999999999E-2</v>
      </c>
      <c r="P47" s="2">
        <v>2.0899999999999998E-2</v>
      </c>
      <c r="Q47" s="3">
        <v>11992.74</v>
      </c>
      <c r="R47" t="str">
        <f>""</f>
        <v/>
      </c>
    </row>
    <row r="48" spans="1:18" x14ac:dyDescent="0.25">
      <c r="A48" s="1">
        <v>46175</v>
      </c>
      <c r="B48" t="str">
        <f>"*Quality All-Cap Dividend Strategy (*DAC)"</f>
        <v>*Quality All-Cap Dividend Strategy (*DAC)</v>
      </c>
      <c r="C48" s="2">
        <v>1.5699999999999999E-2</v>
      </c>
      <c r="D48" t="str">
        <f>"VZ"</f>
        <v>VZ</v>
      </c>
      <c r="E48" t="str">
        <f>"92343V104"</f>
        <v>92343V104</v>
      </c>
      <c r="F48" t="str">
        <f>"Verizon"</f>
        <v>Verizon</v>
      </c>
      <c r="G48">
        <v>918</v>
      </c>
      <c r="H48" s="1">
        <v>42369</v>
      </c>
      <c r="I48" s="3">
        <v>43944.66</v>
      </c>
      <c r="J48">
        <v>47.87</v>
      </c>
      <c r="K48">
        <v>46.75</v>
      </c>
      <c r="L48" s="3">
        <v>42918.64</v>
      </c>
      <c r="M48" s="3">
        <v>2597.94</v>
      </c>
      <c r="N48" s="3">
        <v>25065.11</v>
      </c>
      <c r="O48" s="2">
        <v>6.0499999999999998E-2</v>
      </c>
      <c r="P48" s="2">
        <v>5.91E-2</v>
      </c>
      <c r="Q48" s="3">
        <v>1026.02</v>
      </c>
      <c r="R48" t="str">
        <f>""</f>
        <v/>
      </c>
    </row>
    <row r="49" spans="1:18" x14ac:dyDescent="0.25">
      <c r="A49" s="1">
        <v>46175</v>
      </c>
      <c r="B49" t="str">
        <f>"*Quality All-Cap Dividend Strategy (*DAC)"</f>
        <v>*Quality All-Cap Dividend Strategy (*DAC)</v>
      </c>
      <c r="C49" s="2">
        <v>0.10340000000000001</v>
      </c>
      <c r="D49" t="str">
        <f>"CASH"</f>
        <v>CASH</v>
      </c>
      <c r="E49" t="str">
        <f>""</f>
        <v/>
      </c>
      <c r="F49" t="str">
        <f>"Cash"</f>
        <v>Cash</v>
      </c>
      <c r="G49" t="str">
        <f>""</f>
        <v/>
      </c>
      <c r="H49" t="str">
        <f>""</f>
        <v/>
      </c>
      <c r="I49" s="3">
        <v>289255.94</v>
      </c>
      <c r="J49" t="str">
        <f>""</f>
        <v/>
      </c>
      <c r="K49" t="str">
        <f>""</f>
        <v/>
      </c>
      <c r="L49" s="3">
        <v>289255.94</v>
      </c>
      <c r="M49" s="3">
        <v>2892.56</v>
      </c>
      <c r="N49">
        <v>0</v>
      </c>
      <c r="O49" s="2">
        <v>0.01</v>
      </c>
      <c r="P49" s="2">
        <v>0.01</v>
      </c>
      <c r="Q49">
        <v>0</v>
      </c>
      <c r="R49" t="str">
        <f>""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C7D2C-3188-4CA6-BAB3-980E089FF8CD}">
  <dimension ref="A1:R36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tr">
        <f>"*Oregon Dividend Strategy (*QDGR)"</f>
        <v>*Oregon Dividend Strategy (*QDGR)</v>
      </c>
      <c r="C2" s="2">
        <v>2.07E-2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43330.32</v>
      </c>
      <c r="J2">
        <v>328.26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3.0700000000000002E-2</v>
      </c>
      <c r="Q2" s="3">
        <v>15075.14</v>
      </c>
      <c r="R2" t="str">
        <f>""</f>
        <v/>
      </c>
    </row>
    <row r="3" spans="1:18" x14ac:dyDescent="0.25">
      <c r="A3" s="1">
        <v>46175</v>
      </c>
      <c r="B3" t="str">
        <f>"*Oregon Dividend Strategy (*QDGR)"</f>
        <v>*Oregon Dividend Strategy (*QDGR)</v>
      </c>
      <c r="C3" s="2">
        <v>2.81E-2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58794.48</v>
      </c>
      <c r="J3">
        <v>264.83999999999997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9.1000000000000004E-3</v>
      </c>
      <c r="Q3" s="3">
        <v>20620.16</v>
      </c>
      <c r="R3" t="str">
        <f>""</f>
        <v/>
      </c>
    </row>
    <row r="4" spans="1:18" x14ac:dyDescent="0.25">
      <c r="A4" s="1">
        <v>46175</v>
      </c>
      <c r="B4" t="str">
        <f>"*Oregon Dividend Strategy (*QDGR)"</f>
        <v>*Oregon Dividend Strategy (*QDGR)</v>
      </c>
      <c r="C4" s="2">
        <v>7.3499999999999996E-2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 s="1">
        <v>42954</v>
      </c>
      <c r="I4" s="3">
        <v>153600</v>
      </c>
      <c r="J4">
        <v>128</v>
      </c>
      <c r="K4">
        <v>44.4</v>
      </c>
      <c r="L4" s="3">
        <v>53278</v>
      </c>
      <c r="M4" s="3">
        <v>2016</v>
      </c>
      <c r="N4" s="3">
        <v>14064.37</v>
      </c>
      <c r="O4" s="2">
        <v>3.78E-2</v>
      </c>
      <c r="P4" s="2">
        <v>1.3100000000000001E-2</v>
      </c>
      <c r="Q4" s="3">
        <v>100322</v>
      </c>
      <c r="R4" t="str">
        <f>""</f>
        <v/>
      </c>
    </row>
    <row r="5" spans="1:18" x14ac:dyDescent="0.25">
      <c r="A5" s="1">
        <v>46175</v>
      </c>
      <c r="B5" t="str">
        <f>"*Oregon Dividend Strategy (*QDGR)"</f>
        <v>*Oregon Dividend Strategy (*QDGR)</v>
      </c>
      <c r="C5" s="2">
        <v>1.66E-2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34776.44</v>
      </c>
      <c r="J5">
        <v>89.63</v>
      </c>
      <c r="K5">
        <v>129.09</v>
      </c>
      <c r="L5" s="3">
        <v>50086.66</v>
      </c>
      <c r="M5" s="3">
        <v>1924.48</v>
      </c>
      <c r="N5" s="3">
        <v>8752.5400000000009</v>
      </c>
      <c r="O5" s="2">
        <v>3.8399999999999997E-2</v>
      </c>
      <c r="P5" s="2">
        <v>5.5300000000000002E-2</v>
      </c>
      <c r="Q5" s="3">
        <v>-15310.22</v>
      </c>
      <c r="R5" t="str">
        <f>""</f>
        <v/>
      </c>
    </row>
    <row r="6" spans="1:18" x14ac:dyDescent="0.25">
      <c r="A6" s="1">
        <v>46175</v>
      </c>
      <c r="B6" t="str">
        <f>"*Oregon Dividend Strategy (*QDGR)"</f>
        <v>*Oregon Dividend Strategy (*QDGR)</v>
      </c>
      <c r="C6" s="2">
        <v>2.1000000000000001E-2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43842.75</v>
      </c>
      <c r="J6">
        <v>250.53</v>
      </c>
      <c r="K6">
        <v>201.92</v>
      </c>
      <c r="L6" s="3">
        <v>35335.85</v>
      </c>
      <c r="M6" s="3">
        <v>1968.75</v>
      </c>
      <c r="N6" s="3">
        <v>4166.6000000000004</v>
      </c>
      <c r="O6" s="2">
        <v>5.57E-2</v>
      </c>
      <c r="P6" s="2">
        <v>4.4900000000000002E-2</v>
      </c>
      <c r="Q6" s="3">
        <v>8506.9</v>
      </c>
      <c r="R6" t="str">
        <f>""</f>
        <v/>
      </c>
    </row>
    <row r="7" spans="1:18" x14ac:dyDescent="0.25">
      <c r="A7" s="1">
        <v>46175</v>
      </c>
      <c r="B7" t="str">
        <f>"*Oregon Dividend Strategy (*QDGR)"</f>
        <v>*Oregon Dividend Strategy (*QDGR)</v>
      </c>
      <c r="C7" s="2">
        <v>2.3099999999999999E-2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48180.68</v>
      </c>
      <c r="J7">
        <v>108.76</v>
      </c>
      <c r="K7">
        <v>57.89</v>
      </c>
      <c r="L7" s="3">
        <v>25646.240000000002</v>
      </c>
      <c r="M7" s="3">
        <v>1628.34</v>
      </c>
      <c r="N7" s="3">
        <v>7200.69</v>
      </c>
      <c r="O7" s="2">
        <v>6.3500000000000001E-2</v>
      </c>
      <c r="P7" s="2">
        <v>3.3799999999999997E-2</v>
      </c>
      <c r="Q7" s="3">
        <v>22534.44</v>
      </c>
      <c r="R7" t="str">
        <f>""</f>
        <v/>
      </c>
    </row>
    <row r="8" spans="1:18" x14ac:dyDescent="0.25">
      <c r="A8" s="1">
        <v>46175</v>
      </c>
      <c r="B8" t="str">
        <f>"*Oregon Dividend Strategy (*QDGR)"</f>
        <v>*Oregon Dividend Strategy (*QDGR)</v>
      </c>
      <c r="C8" s="2">
        <v>1.6E-2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33342.839999999997</v>
      </c>
      <c r="J8">
        <v>135.54</v>
      </c>
      <c r="K8">
        <v>89.3</v>
      </c>
      <c r="L8" s="3">
        <v>21967.48</v>
      </c>
      <c r="M8" s="3">
        <v>1013.52</v>
      </c>
      <c r="N8" s="3">
        <v>2690.26</v>
      </c>
      <c r="O8" s="2">
        <v>4.6100000000000002E-2</v>
      </c>
      <c r="P8" s="2">
        <v>3.04E-2</v>
      </c>
      <c r="Q8" s="3">
        <v>11375.36</v>
      </c>
      <c r="R8" t="str">
        <f>""</f>
        <v/>
      </c>
    </row>
    <row r="9" spans="1:18" x14ac:dyDescent="0.25">
      <c r="A9" s="1">
        <v>46175</v>
      </c>
      <c r="B9" t="str">
        <f>"*Oregon Dividend Strategy (*QDGR)"</f>
        <v>*Oregon Dividend Strategy (*QDGR)</v>
      </c>
      <c r="C9" s="2">
        <v>1.8599999999999998E-2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38843.599999999999</v>
      </c>
      <c r="J9">
        <v>107.6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2.3800000000000002E-2</v>
      </c>
      <c r="Q9" s="3">
        <v>22414.67</v>
      </c>
      <c r="R9" t="str">
        <f>""</f>
        <v/>
      </c>
    </row>
    <row r="10" spans="1:18" x14ac:dyDescent="0.25">
      <c r="A10" s="1">
        <v>46175</v>
      </c>
      <c r="B10" t="str">
        <f>"*Oregon Dividend Strategy (*QDGR)"</f>
        <v>*Oregon Dividend Strategy (*QDGR)</v>
      </c>
      <c r="C10" s="2">
        <v>3.6700000000000003E-2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 s="1">
        <v>45104</v>
      </c>
      <c r="I10" s="3">
        <v>76633.919999999998</v>
      </c>
      <c r="J10">
        <v>311.52</v>
      </c>
      <c r="K10">
        <v>313.70999999999998</v>
      </c>
      <c r="L10" s="3">
        <v>77172.179999999993</v>
      </c>
      <c r="M10" s="3">
        <v>2292.7199999999998</v>
      </c>
      <c r="N10" s="3">
        <v>4769.03</v>
      </c>
      <c r="O10" s="2">
        <v>2.9700000000000001E-2</v>
      </c>
      <c r="P10" s="2">
        <v>2.9899999999999999E-2</v>
      </c>
      <c r="Q10">
        <v>-538.26</v>
      </c>
      <c r="R10" t="str">
        <f>""</f>
        <v/>
      </c>
    </row>
    <row r="11" spans="1:18" x14ac:dyDescent="0.25">
      <c r="A11" s="1">
        <v>46175</v>
      </c>
      <c r="B11" t="str">
        <f>"*Oregon Dividend Strategy (*QDGR)"</f>
        <v>*Oregon Dividend Strategy (*QDGR)</v>
      </c>
      <c r="C11" s="2">
        <v>1.3599999999999999E-2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28515.84</v>
      </c>
      <c r="J11">
        <v>101.12</v>
      </c>
      <c r="K11">
        <v>95.71</v>
      </c>
      <c r="L11" s="3">
        <v>26990.14</v>
      </c>
      <c r="M11">
        <v>924.96</v>
      </c>
      <c r="N11" s="3">
        <v>4062.93</v>
      </c>
      <c r="O11" s="2">
        <v>3.4299999999999997E-2</v>
      </c>
      <c r="P11" s="2">
        <v>3.2399999999999998E-2</v>
      </c>
      <c r="Q11" s="3">
        <v>1525.7</v>
      </c>
      <c r="R11" t="str">
        <f>""</f>
        <v/>
      </c>
    </row>
    <row r="12" spans="1:18" x14ac:dyDescent="0.25">
      <c r="A12" s="1">
        <v>46175</v>
      </c>
      <c r="B12" t="str">
        <f>"*Oregon Dividend Strategy (*QDGR)"</f>
        <v>*Oregon Dividend Strategy (*QDGR)</v>
      </c>
      <c r="C12" s="2">
        <v>1.9400000000000001E-2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40536.94</v>
      </c>
      <c r="J12">
        <v>136.03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1.7899999999999999E-2</v>
      </c>
      <c r="Q12" s="3">
        <v>-6764.54</v>
      </c>
      <c r="R12" t="str">
        <f>""</f>
        <v/>
      </c>
    </row>
    <row r="13" spans="1:18" x14ac:dyDescent="0.25">
      <c r="A13" s="1">
        <v>46175</v>
      </c>
      <c r="B13" t="str">
        <f>"*Oregon Dividend Strategy (*QDGR)"</f>
        <v>*Oregon Dividend Strategy (*QDGR)</v>
      </c>
      <c r="C13" s="2">
        <v>2.2700000000000001E-2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47475.57</v>
      </c>
      <c r="J13">
        <v>222.89</v>
      </c>
      <c r="K13">
        <v>151.65</v>
      </c>
      <c r="L13" s="3">
        <v>32302.51</v>
      </c>
      <c r="M13" s="3">
        <v>1141.68</v>
      </c>
      <c r="N13" s="3">
        <v>3431.4</v>
      </c>
      <c r="O13" s="2">
        <v>3.5299999999999998E-2</v>
      </c>
      <c r="P13" s="2">
        <v>2.4E-2</v>
      </c>
      <c r="Q13" s="3">
        <v>15173.06</v>
      </c>
      <c r="R13" t="str">
        <f>""</f>
        <v/>
      </c>
    </row>
    <row r="14" spans="1:18" x14ac:dyDescent="0.25">
      <c r="A14" s="1">
        <v>46175</v>
      </c>
      <c r="B14" t="str">
        <f>"*Oregon Dividend Strategy (*QDGR)"</f>
        <v>*Oregon Dividend Strategy (*QDGR)</v>
      </c>
      <c r="C14" s="2">
        <v>2.8400000000000002E-2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 s="1">
        <v>44019</v>
      </c>
      <c r="I14" s="3">
        <v>59289.120000000003</v>
      </c>
      <c r="J14">
        <v>300.95999999999998</v>
      </c>
      <c r="K14">
        <v>190.55</v>
      </c>
      <c r="L14" s="3">
        <v>37539.32</v>
      </c>
      <c r="M14" s="3">
        <v>1182</v>
      </c>
      <c r="N14" s="3">
        <v>7233.98</v>
      </c>
      <c r="O14" s="2">
        <v>3.15E-2</v>
      </c>
      <c r="P14" s="2">
        <v>1.9900000000000001E-2</v>
      </c>
      <c r="Q14" s="3">
        <v>21749.8</v>
      </c>
      <c r="R14" t="str">
        <f>""</f>
        <v/>
      </c>
    </row>
    <row r="15" spans="1:18" x14ac:dyDescent="0.25">
      <c r="A15" s="1">
        <v>46175</v>
      </c>
      <c r="B15" t="str">
        <f>"*Oregon Dividend Strategy (*QDGR)"</f>
        <v>*Oregon Dividend Strategy (*QDGR)</v>
      </c>
      <c r="C15" s="2">
        <v>1.7999999999999999E-2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37633.440000000002</v>
      </c>
      <c r="J15">
        <v>254.28</v>
      </c>
      <c r="K15">
        <v>131.31</v>
      </c>
      <c r="L15" s="3">
        <v>19433.61</v>
      </c>
      <c r="M15">
        <v>467.68</v>
      </c>
      <c r="N15" s="3">
        <v>2550.0100000000002</v>
      </c>
      <c r="O15" s="2">
        <v>2.41E-2</v>
      </c>
      <c r="P15" s="2">
        <v>1.24E-2</v>
      </c>
      <c r="Q15" s="3">
        <v>18199.830000000002</v>
      </c>
      <c r="R15" t="str">
        <f>""</f>
        <v/>
      </c>
    </row>
    <row r="16" spans="1:18" x14ac:dyDescent="0.25">
      <c r="A16" s="1">
        <v>46175</v>
      </c>
      <c r="B16" t="str">
        <f>"*Oregon Dividend Strategy (*QDGR)"</f>
        <v>*Oregon Dividend Strategy (*QDGR)</v>
      </c>
      <c r="C16" s="2">
        <v>9.7999999999999997E-3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20536.75</v>
      </c>
      <c r="J16">
        <v>46.15</v>
      </c>
      <c r="K16">
        <v>65.97</v>
      </c>
      <c r="L16" s="3">
        <v>29357.759999999998</v>
      </c>
      <c r="M16">
        <v>854.4</v>
      </c>
      <c r="N16">
        <v>427.2</v>
      </c>
      <c r="O16" s="2">
        <v>2.9100000000000001E-2</v>
      </c>
      <c r="P16" s="2">
        <v>4.1599999999999998E-2</v>
      </c>
      <c r="Q16" s="3">
        <v>-8821.01</v>
      </c>
      <c r="R16" t="str">
        <f>""</f>
        <v/>
      </c>
    </row>
    <row r="17" spans="1:18" x14ac:dyDescent="0.25">
      <c r="A17" s="1">
        <v>46175</v>
      </c>
      <c r="B17" t="str">
        <f>"*Oregon Dividend Strategy (*QDGR)"</f>
        <v>*Oregon Dividend Strategy (*QDGR)</v>
      </c>
      <c r="C17" s="2">
        <v>2.5399999999999999E-2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 s="1">
        <v>43984</v>
      </c>
      <c r="I17" s="3">
        <v>53100</v>
      </c>
      <c r="J17">
        <v>73.75</v>
      </c>
      <c r="K17">
        <v>92.77</v>
      </c>
      <c r="L17" s="3">
        <v>66796.47</v>
      </c>
      <c r="M17" s="3">
        <v>2044.8</v>
      </c>
      <c r="N17" s="3">
        <v>5894.01</v>
      </c>
      <c r="O17" s="2">
        <v>3.0599999999999999E-2</v>
      </c>
      <c r="P17" s="2">
        <v>3.85E-2</v>
      </c>
      <c r="Q17" s="3">
        <v>-13696.47</v>
      </c>
      <c r="R17" t="str">
        <f>""</f>
        <v/>
      </c>
    </row>
    <row r="18" spans="1:18" x14ac:dyDescent="0.25">
      <c r="A18" s="1">
        <v>46175</v>
      </c>
      <c r="B18" t="str">
        <f>"*Oregon Dividend Strategy (*QDGR)"</f>
        <v>*Oregon Dividend Strategy (*QDGR)</v>
      </c>
      <c r="C18" s="2">
        <v>3.9300000000000002E-2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 s="1">
        <v>42954</v>
      </c>
      <c r="I18" s="3">
        <v>82083.66</v>
      </c>
      <c r="J18">
        <v>441.31</v>
      </c>
      <c r="K18">
        <v>181.66</v>
      </c>
      <c r="L18" s="3">
        <v>33789.660000000003</v>
      </c>
      <c r="M18">
        <v>677.04</v>
      </c>
      <c r="N18" s="3">
        <v>4357.32</v>
      </c>
      <c r="O18" s="2">
        <v>0.02</v>
      </c>
      <c r="P18" s="2">
        <v>8.2000000000000007E-3</v>
      </c>
      <c r="Q18" s="3">
        <v>48294</v>
      </c>
      <c r="R18" t="str">
        <f>""</f>
        <v/>
      </c>
    </row>
    <row r="19" spans="1:18" x14ac:dyDescent="0.25">
      <c r="A19" s="1">
        <v>46175</v>
      </c>
      <c r="B19" t="str">
        <f>"*Oregon Dividend Strategy (*QDGR)"</f>
        <v>*Oregon Dividend Strategy (*QDGR)</v>
      </c>
      <c r="C19" s="2">
        <v>3.1300000000000001E-2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65416.56</v>
      </c>
      <c r="J19">
        <v>115.17</v>
      </c>
      <c r="K19">
        <v>67.22</v>
      </c>
      <c r="L19" s="3">
        <v>38178.61</v>
      </c>
      <c r="M19" s="3">
        <v>1976.64</v>
      </c>
      <c r="N19" s="3">
        <v>10966.71</v>
      </c>
      <c r="O19" s="2">
        <v>5.1799999999999999E-2</v>
      </c>
      <c r="P19" s="2">
        <v>3.0200000000000001E-2</v>
      </c>
      <c r="Q19" s="3">
        <v>27237.95</v>
      </c>
      <c r="R19" t="str">
        <f>""</f>
        <v/>
      </c>
    </row>
    <row r="20" spans="1:18" x14ac:dyDescent="0.25">
      <c r="A20" s="1">
        <v>46175</v>
      </c>
      <c r="B20" t="str">
        <f>"*Oregon Dividend Strategy (*QDGR)"</f>
        <v>*Oregon Dividend Strategy (*QDGR)</v>
      </c>
      <c r="C20" s="2">
        <v>3.2599999999999997E-2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 s="1">
        <v>45618</v>
      </c>
      <c r="I20" s="3">
        <v>68087.61</v>
      </c>
      <c r="J20">
        <v>43.73</v>
      </c>
      <c r="K20">
        <v>60.32</v>
      </c>
      <c r="L20" s="3">
        <v>93912.67</v>
      </c>
      <c r="M20" s="3">
        <v>2553.48</v>
      </c>
      <c r="N20" s="3">
        <v>1618.96</v>
      </c>
      <c r="O20" s="2">
        <v>2.7199999999999998E-2</v>
      </c>
      <c r="P20" s="2">
        <v>3.7499999999999999E-2</v>
      </c>
      <c r="Q20" s="3">
        <v>-25825.06</v>
      </c>
      <c r="R20" t="str">
        <f>""</f>
        <v/>
      </c>
    </row>
    <row r="21" spans="1:18" x14ac:dyDescent="0.25">
      <c r="A21" s="1">
        <v>46175</v>
      </c>
      <c r="B21" t="str">
        <f>"*Oregon Dividend Strategy (*QDGR)"</f>
        <v>*Oregon Dividend Strategy (*QDGR)</v>
      </c>
      <c r="C21" s="2">
        <v>2.9399999999999999E-2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 s="1">
        <v>45660</v>
      </c>
      <c r="I21" s="3">
        <v>61504.36</v>
      </c>
      <c r="J21">
        <v>42.92</v>
      </c>
      <c r="K21">
        <v>57.38</v>
      </c>
      <c r="L21" s="3">
        <v>82228.95</v>
      </c>
      <c r="M21" s="3">
        <v>1841.75</v>
      </c>
      <c r="N21" s="3">
        <v>1877.33</v>
      </c>
      <c r="O21" s="2">
        <v>2.24E-2</v>
      </c>
      <c r="P21" s="2">
        <v>2.9899999999999999E-2</v>
      </c>
      <c r="Q21" s="3">
        <v>-20724.59</v>
      </c>
      <c r="R21" t="str">
        <f>""</f>
        <v/>
      </c>
    </row>
    <row r="22" spans="1:18" x14ac:dyDescent="0.25">
      <c r="A22" s="1">
        <v>46175</v>
      </c>
      <c r="B22" t="str">
        <f>"*Oregon Dividend Strategy (*QDGR)"</f>
        <v>*Oregon Dividend Strategy (*QDGR)</v>
      </c>
      <c r="C22" s="2">
        <v>2.8400000000000002E-2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 s="1">
        <v>43892</v>
      </c>
      <c r="I22" s="3">
        <v>59264.52</v>
      </c>
      <c r="J22">
        <v>100.79</v>
      </c>
      <c r="K22">
        <v>89.04</v>
      </c>
      <c r="L22" s="3">
        <v>52353.599999999999</v>
      </c>
      <c r="M22" s="3">
        <v>2798.88</v>
      </c>
      <c r="N22" s="3">
        <v>8044.04</v>
      </c>
      <c r="O22" s="2">
        <v>5.3499999999999999E-2</v>
      </c>
      <c r="P22" s="2">
        <v>4.7199999999999999E-2</v>
      </c>
      <c r="Q22" s="3">
        <v>6910.92</v>
      </c>
      <c r="R22" t="str">
        <f>""</f>
        <v/>
      </c>
    </row>
    <row r="23" spans="1:18" x14ac:dyDescent="0.25">
      <c r="A23" s="1">
        <v>46175</v>
      </c>
      <c r="B23" t="str">
        <f>"*Oregon Dividend Strategy (*QDGR)"</f>
        <v>*Oregon Dividend Strategy (*QDGR)</v>
      </c>
      <c r="C23" s="2">
        <v>2.24E-2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46860</v>
      </c>
      <c r="J23">
        <v>142</v>
      </c>
      <c r="K23">
        <v>123.24</v>
      </c>
      <c r="L23" s="3">
        <v>40670.410000000003</v>
      </c>
      <c r="M23" s="3">
        <v>1953.6</v>
      </c>
      <c r="N23" s="3">
        <v>9422.84</v>
      </c>
      <c r="O23" s="2">
        <v>4.8000000000000001E-2</v>
      </c>
      <c r="P23" s="2">
        <v>4.1700000000000001E-2</v>
      </c>
      <c r="Q23" s="3">
        <v>6189.59</v>
      </c>
      <c r="R23" t="str">
        <f>""</f>
        <v/>
      </c>
    </row>
    <row r="24" spans="1:18" x14ac:dyDescent="0.25">
      <c r="A24" s="1">
        <v>46175</v>
      </c>
      <c r="B24" t="str">
        <f>"*Oregon Dividend Strategy (*QDGR)"</f>
        <v>*Oregon Dividend Strategy (*QDGR)</v>
      </c>
      <c r="C24" s="2">
        <v>2.4799999999999999E-2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51815.4</v>
      </c>
      <c r="J24">
        <v>25.55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6.7299999999999999E-2</v>
      </c>
      <c r="Q24" s="3">
        <v>-5598.87</v>
      </c>
      <c r="R24" t="str">
        <f>""</f>
        <v/>
      </c>
    </row>
    <row r="25" spans="1:18" x14ac:dyDescent="0.25">
      <c r="A25" s="1">
        <v>46175</v>
      </c>
      <c r="B25" t="str">
        <f>"*Oregon Dividend Strategy (*QDGR)"</f>
        <v>*Oregon Dividend Strategy (*QDGR)</v>
      </c>
      <c r="C25" s="2">
        <v>5.0299999999999997E-2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105169.58</v>
      </c>
      <c r="J25">
        <v>103.31</v>
      </c>
      <c r="K25">
        <v>68.709999999999994</v>
      </c>
      <c r="L25" s="3">
        <v>69943.92</v>
      </c>
      <c r="M25" s="3">
        <v>3339.04</v>
      </c>
      <c r="N25" s="3">
        <v>13842.15</v>
      </c>
      <c r="O25" s="2">
        <v>4.7699999999999999E-2</v>
      </c>
      <c r="P25" s="2">
        <v>3.1699999999999999E-2</v>
      </c>
      <c r="Q25" s="3">
        <v>35225.660000000003</v>
      </c>
      <c r="R25" t="str">
        <f>""</f>
        <v/>
      </c>
    </row>
    <row r="26" spans="1:18" x14ac:dyDescent="0.25">
      <c r="A26" s="1">
        <v>46175</v>
      </c>
      <c r="B26" t="str">
        <f>"*Oregon Dividend Strategy (*QDGR)"</f>
        <v>*Oregon Dividend Strategy (*QDGR)</v>
      </c>
      <c r="C26" s="2">
        <v>1.9E-2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 s="1">
        <v>42954</v>
      </c>
      <c r="I26" s="3">
        <v>39711.24</v>
      </c>
      <c r="J26">
        <v>140.82</v>
      </c>
      <c r="K26">
        <v>110.13</v>
      </c>
      <c r="L26" s="3">
        <v>31056.799999999999</v>
      </c>
      <c r="M26" s="3">
        <v>1227.83</v>
      </c>
      <c r="N26" s="3">
        <v>6369.67</v>
      </c>
      <c r="O26" s="2">
        <v>3.95E-2</v>
      </c>
      <c r="P26" s="2">
        <v>3.09E-2</v>
      </c>
      <c r="Q26" s="3">
        <v>8654.44</v>
      </c>
      <c r="R26" t="str">
        <f>""</f>
        <v/>
      </c>
    </row>
    <row r="27" spans="1:18" x14ac:dyDescent="0.25">
      <c r="A27" s="1">
        <v>46175</v>
      </c>
      <c r="B27" t="str">
        <f>"*Oregon Dividend Strategy (*QDGR)"</f>
        <v>*Oregon Dividend Strategy (*QDGR)</v>
      </c>
      <c r="C27" s="2">
        <v>2.2499999999999999E-2</v>
      </c>
      <c r="D27" t="str">
        <f>"PEG"</f>
        <v>PEG</v>
      </c>
      <c r="E27">
        <v>744573106</v>
      </c>
      <c r="F27" t="str">
        <f>"Public Service Enterprise Group"</f>
        <v>Public Service Enterprise Group</v>
      </c>
      <c r="G27">
        <v>601</v>
      </c>
      <c r="H27" s="1">
        <v>46175</v>
      </c>
      <c r="I27" s="3">
        <v>47070.32</v>
      </c>
      <c r="J27">
        <v>78.319999999999993</v>
      </c>
      <c r="K27">
        <v>78.03</v>
      </c>
      <c r="L27" s="3">
        <v>46896.03</v>
      </c>
      <c r="M27" s="3">
        <v>1610.68</v>
      </c>
      <c r="N27">
        <v>0</v>
      </c>
      <c r="O27" s="2">
        <v>3.4299999999999997E-2</v>
      </c>
      <c r="P27" s="2">
        <v>3.4200000000000001E-2</v>
      </c>
      <c r="Q27">
        <v>174.29</v>
      </c>
      <c r="R27" t="str">
        <f>""</f>
        <v/>
      </c>
    </row>
    <row r="28" spans="1:18" x14ac:dyDescent="0.25">
      <c r="A28" s="1">
        <v>46175</v>
      </c>
      <c r="B28" t="str">
        <f>"*Oregon Dividend Strategy (*QDGR)"</f>
        <v>*Oregon Dividend Strategy (*QDGR)</v>
      </c>
      <c r="C28" s="2">
        <v>2.4299999999999999E-2</v>
      </c>
      <c r="D28" t="str">
        <f>"DGX"</f>
        <v>DGX</v>
      </c>
      <c r="E28" t="str">
        <f>"74834L100"</f>
        <v>74834L100</v>
      </c>
      <c r="F28" t="str">
        <f>"Quest Diagnostics"</f>
        <v>Quest Diagnostics</v>
      </c>
      <c r="G28">
        <v>263</v>
      </c>
      <c r="H28" s="1">
        <v>43935</v>
      </c>
      <c r="I28" s="3">
        <v>50801.08</v>
      </c>
      <c r="J28">
        <v>193.16</v>
      </c>
      <c r="K28">
        <v>87.97</v>
      </c>
      <c r="L28" s="3">
        <v>23136.11</v>
      </c>
      <c r="M28">
        <v>904.72</v>
      </c>
      <c r="N28" s="3">
        <v>4494.76</v>
      </c>
      <c r="O28" s="2">
        <v>3.9100000000000003E-2</v>
      </c>
      <c r="P28" s="2">
        <v>1.78E-2</v>
      </c>
      <c r="Q28" s="3">
        <v>27664.97</v>
      </c>
      <c r="R28" t="str">
        <f>""</f>
        <v/>
      </c>
    </row>
    <row r="29" spans="1:18" x14ac:dyDescent="0.25">
      <c r="A29" s="1">
        <v>46175</v>
      </c>
      <c r="B29" t="str">
        <f>"*Oregon Dividend Strategy (*QDGR)"</f>
        <v>*Oregon Dividend Strategy (*QDGR)</v>
      </c>
      <c r="C29" s="2">
        <v>2.69E-2</v>
      </c>
      <c r="D29" t="str">
        <f>"O"</f>
        <v>O</v>
      </c>
      <c r="E29">
        <v>756109104</v>
      </c>
      <c r="F29" t="str">
        <f>"Realty Income"</f>
        <v>Realty Income</v>
      </c>
      <c r="G29">
        <v>938</v>
      </c>
      <c r="H29" s="1">
        <v>45362</v>
      </c>
      <c r="I29" s="3">
        <v>56195.58</v>
      </c>
      <c r="J29">
        <v>59.91</v>
      </c>
      <c r="K29">
        <v>53.26</v>
      </c>
      <c r="L29" s="3">
        <v>49960.92</v>
      </c>
      <c r="M29" s="3">
        <v>3044.75</v>
      </c>
      <c r="N29" s="3">
        <v>6494.73</v>
      </c>
      <c r="O29" s="2">
        <v>6.0900000000000003E-2</v>
      </c>
      <c r="P29" s="2">
        <v>5.4199999999999998E-2</v>
      </c>
      <c r="Q29" s="3">
        <v>6234.66</v>
      </c>
      <c r="R29" t="str">
        <f>""</f>
        <v/>
      </c>
    </row>
    <row r="30" spans="1:18" x14ac:dyDescent="0.25">
      <c r="A30" s="1">
        <v>46175</v>
      </c>
      <c r="B30" t="str">
        <f>"*Oregon Dividend Strategy (*QDGR)"</f>
        <v>*Oregon Dividend Strategy (*QDGR)</v>
      </c>
      <c r="C30" s="2">
        <v>2.8799999999999999E-2</v>
      </c>
      <c r="D30" t="str">
        <f>"RGA"</f>
        <v>RGA</v>
      </c>
      <c r="E30">
        <v>759351604</v>
      </c>
      <c r="F30" t="str">
        <f>"Reinsurance Group of America"</f>
        <v>Reinsurance Group of America</v>
      </c>
      <c r="G30">
        <v>303</v>
      </c>
      <c r="H30" s="1">
        <v>45582</v>
      </c>
      <c r="I30" s="3">
        <v>60106.11</v>
      </c>
      <c r="J30">
        <v>198.37</v>
      </c>
      <c r="K30">
        <v>210.31</v>
      </c>
      <c r="L30" s="3">
        <v>63722.6</v>
      </c>
      <c r="M30" s="3">
        <v>1127.1600000000001</v>
      </c>
      <c r="N30" s="3">
        <v>1257.3900000000001</v>
      </c>
      <c r="O30" s="2">
        <v>1.77E-2</v>
      </c>
      <c r="P30" s="2">
        <v>1.8800000000000001E-2</v>
      </c>
      <c r="Q30" s="3">
        <v>-3616.49</v>
      </c>
      <c r="R30" t="str">
        <f>""</f>
        <v/>
      </c>
    </row>
    <row r="31" spans="1:18" x14ac:dyDescent="0.25">
      <c r="A31" s="1">
        <v>46175</v>
      </c>
      <c r="B31" t="str">
        <f>"*Oregon Dividend Strategy (*QDGR)"</f>
        <v>*Oregon Dividend Strategy (*QDGR)</v>
      </c>
      <c r="C31" s="2">
        <v>3.4000000000000002E-2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682</v>
      </c>
      <c r="H31" s="1">
        <v>44932</v>
      </c>
      <c r="I31" s="3">
        <v>71139.42</v>
      </c>
      <c r="J31">
        <v>104.31</v>
      </c>
      <c r="K31">
        <v>103.59</v>
      </c>
      <c r="L31" s="3">
        <v>70648.570000000007</v>
      </c>
      <c r="M31" s="3">
        <v>3546.4</v>
      </c>
      <c r="N31" s="3">
        <v>6905.44</v>
      </c>
      <c r="O31" s="2">
        <v>5.0200000000000002E-2</v>
      </c>
      <c r="P31" s="2">
        <v>4.99E-2</v>
      </c>
      <c r="Q31">
        <v>490.85</v>
      </c>
      <c r="R31" t="str">
        <f>""</f>
        <v/>
      </c>
    </row>
    <row r="32" spans="1:18" x14ac:dyDescent="0.25">
      <c r="A32" s="1">
        <v>46175</v>
      </c>
      <c r="B32" t="str">
        <f>"*Oregon Dividend Strategy (*QDGR)"</f>
        <v>*Oregon Dividend Strategy (*QDGR)</v>
      </c>
      <c r="C32" s="2">
        <v>3.5499999999999997E-2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241</v>
      </c>
      <c r="H32" s="1">
        <v>42954</v>
      </c>
      <c r="I32" s="3">
        <v>74256.92</v>
      </c>
      <c r="J32">
        <v>308.12</v>
      </c>
      <c r="K32">
        <v>105.46</v>
      </c>
      <c r="L32" s="3">
        <v>25416.41</v>
      </c>
      <c r="M32" s="3">
        <v>1368.88</v>
      </c>
      <c r="N32" s="3">
        <v>9848.02</v>
      </c>
      <c r="O32" s="2">
        <v>5.3900000000000003E-2</v>
      </c>
      <c r="P32" s="2">
        <v>1.84E-2</v>
      </c>
      <c r="Q32" s="3">
        <v>48840.51</v>
      </c>
      <c r="R32" t="str">
        <f>""</f>
        <v/>
      </c>
    </row>
    <row r="33" spans="1:18" x14ac:dyDescent="0.25">
      <c r="A33" s="1">
        <v>46175</v>
      </c>
      <c r="B33" t="str">
        <f>"*Oregon Dividend Strategy (*QDGR)"</f>
        <v>*Oregon Dividend Strategy (*QDGR)</v>
      </c>
      <c r="C33" s="2">
        <v>2.86E-2</v>
      </c>
      <c r="D33" t="str">
        <f>"UL"</f>
        <v>UL</v>
      </c>
      <c r="E33">
        <v>904767803</v>
      </c>
      <c r="F33" t="str">
        <f>"Unilever PLC"</f>
        <v>Unilever PLC</v>
      </c>
      <c r="G33" s="3">
        <v>1076</v>
      </c>
      <c r="H33" s="1">
        <v>43892</v>
      </c>
      <c r="I33" s="3">
        <v>59750.28</v>
      </c>
      <c r="J33">
        <v>55.53</v>
      </c>
      <c r="K33">
        <v>61.58</v>
      </c>
      <c r="L33" s="3">
        <v>66258.73</v>
      </c>
      <c r="M33" s="3">
        <v>2429.27</v>
      </c>
      <c r="N33" s="3">
        <v>7497</v>
      </c>
      <c r="O33" s="2">
        <v>3.6700000000000003E-2</v>
      </c>
      <c r="P33" s="2">
        <v>4.07E-2</v>
      </c>
      <c r="Q33" s="3">
        <v>-6508.45</v>
      </c>
      <c r="R33" t="str">
        <f>""</f>
        <v/>
      </c>
    </row>
    <row r="34" spans="1:18" x14ac:dyDescent="0.25">
      <c r="A34" s="1">
        <v>46175</v>
      </c>
      <c r="B34" t="str">
        <f>"*Oregon Dividend Strategy (*QDGR)"</f>
        <v>*Oregon Dividend Strategy (*QDGR)</v>
      </c>
      <c r="C34" s="2">
        <v>2.01E-2</v>
      </c>
      <c r="D34" t="str">
        <f>"UNP"</f>
        <v>UNP</v>
      </c>
      <c r="E34">
        <v>907818108</v>
      </c>
      <c r="F34" t="str">
        <f>"Union Pacific"</f>
        <v>Union Pacific</v>
      </c>
      <c r="G34">
        <v>159</v>
      </c>
      <c r="H34" s="1">
        <v>45092</v>
      </c>
      <c r="I34" s="3">
        <v>42084.12</v>
      </c>
      <c r="J34">
        <v>264.68</v>
      </c>
      <c r="K34">
        <v>205.79</v>
      </c>
      <c r="L34" s="3">
        <v>32721.08</v>
      </c>
      <c r="M34">
        <v>877.68</v>
      </c>
      <c r="N34" s="3">
        <v>2550.36</v>
      </c>
      <c r="O34" s="2">
        <v>2.6800000000000001E-2</v>
      </c>
      <c r="P34" s="2">
        <v>2.0899999999999998E-2</v>
      </c>
      <c r="Q34" s="3">
        <v>9363.0400000000009</v>
      </c>
      <c r="R34" t="str">
        <f>""</f>
        <v/>
      </c>
    </row>
    <row r="35" spans="1:18" x14ac:dyDescent="0.25">
      <c r="A35" s="1">
        <v>46175</v>
      </c>
      <c r="B35" t="str">
        <f>"*Oregon Dividend Strategy (*QDGR)"</f>
        <v>*Oregon Dividend Strategy (*QDGR)</v>
      </c>
      <c r="C35" s="2">
        <v>1.6899999999999998E-2</v>
      </c>
      <c r="D35" t="str">
        <f>"VZ"</f>
        <v>VZ</v>
      </c>
      <c r="E35" t="str">
        <f>"92343V104"</f>
        <v>92343V104</v>
      </c>
      <c r="F35" t="str">
        <f>"Verizon"</f>
        <v>Verizon</v>
      </c>
      <c r="G35">
        <v>736</v>
      </c>
      <c r="H35" s="1">
        <v>42954</v>
      </c>
      <c r="I35" s="3">
        <v>35232.32</v>
      </c>
      <c r="J35">
        <v>47.87</v>
      </c>
      <c r="K35">
        <v>49.05</v>
      </c>
      <c r="L35" s="3">
        <v>36101.46</v>
      </c>
      <c r="M35" s="3">
        <v>2082.88</v>
      </c>
      <c r="N35" s="3">
        <v>18854.73</v>
      </c>
      <c r="O35" s="2">
        <v>5.7700000000000001E-2</v>
      </c>
      <c r="P35" s="2">
        <v>5.91E-2</v>
      </c>
      <c r="Q35">
        <v>-869.14</v>
      </c>
      <c r="R35" t="str">
        <f>""</f>
        <v/>
      </c>
    </row>
    <row r="36" spans="1:18" x14ac:dyDescent="0.25">
      <c r="A36" s="1">
        <v>46175</v>
      </c>
      <c r="B36" t="str">
        <f>"*Oregon Dividend Strategy (*QDGR)"</f>
        <v>*Oregon Dividend Strategy (*QDGR)</v>
      </c>
      <c r="C36" s="2">
        <v>9.3399999999999997E-2</v>
      </c>
      <c r="D36" t="str">
        <f>"CASH"</f>
        <v>CASH</v>
      </c>
      <c r="E36" t="str">
        <f>""</f>
        <v/>
      </c>
      <c r="F36" t="str">
        <f>"Cash"</f>
        <v>Cash</v>
      </c>
      <c r="G36" t="str">
        <f>""</f>
        <v/>
      </c>
      <c r="H36" t="str">
        <f>""</f>
        <v/>
      </c>
      <c r="I36" s="3">
        <v>195256.32000000001</v>
      </c>
      <c r="J36" t="str">
        <f>""</f>
        <v/>
      </c>
      <c r="K36" t="str">
        <f>""</f>
        <v/>
      </c>
      <c r="L36" s="3">
        <v>195256.32000000001</v>
      </c>
      <c r="M36" s="3">
        <v>1952.56</v>
      </c>
      <c r="N36">
        <v>0</v>
      </c>
      <c r="O36" s="2">
        <v>0.01</v>
      </c>
      <c r="P36" s="2">
        <v>0.01</v>
      </c>
      <c r="Q36">
        <v>0</v>
      </c>
      <c r="R36" t="str">
        <f>""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F02C3-3713-4A2D-8368-E2EA2E00BC53}">
  <dimension ref="A1:R46"/>
  <sheetViews>
    <sheetView zoomScale="85" zoomScaleNormal="85" workbookViewId="0"/>
  </sheetViews>
  <sheetFormatPr defaultRowHeight="15" x14ac:dyDescent="0.25"/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46175</v>
      </c>
      <c r="B2" t="s">
        <v>0</v>
      </c>
      <c r="C2" s="2">
        <v>2.3599999999999999E-2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48254.22</v>
      </c>
      <c r="J2">
        <v>328.26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3.0700000000000002E-2</v>
      </c>
      <c r="Q2" s="3">
        <v>26490.35</v>
      </c>
      <c r="R2" t="str">
        <f>""</f>
        <v/>
      </c>
    </row>
    <row r="3" spans="1:18" x14ac:dyDescent="0.25">
      <c r="A3" s="1">
        <v>46175</v>
      </c>
      <c r="B3" t="s">
        <v>0</v>
      </c>
      <c r="C3" s="2">
        <v>2.75E-2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56277.21</v>
      </c>
      <c r="J3" s="3">
        <v>1705.37</v>
      </c>
      <c r="K3">
        <v>721.12</v>
      </c>
      <c r="L3" s="3">
        <v>23797.07</v>
      </c>
      <c r="M3">
        <v>246.44</v>
      </c>
      <c r="N3">
        <v>803.25</v>
      </c>
      <c r="O3" s="2">
        <v>1.04E-2</v>
      </c>
      <c r="P3" s="2">
        <v>4.4000000000000003E-3</v>
      </c>
      <c r="Q3" s="3">
        <v>32480.14</v>
      </c>
      <c r="R3" t="str">
        <f>""</f>
        <v/>
      </c>
    </row>
    <row r="4" spans="1:18" x14ac:dyDescent="0.25">
      <c r="A4" s="1">
        <v>46175</v>
      </c>
      <c r="B4" t="s">
        <v>0</v>
      </c>
      <c r="C4" s="2">
        <v>1.72E-2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35160.400000000001</v>
      </c>
      <c r="J4">
        <v>72.05</v>
      </c>
      <c r="K4">
        <v>59.46</v>
      </c>
      <c r="L4" s="3">
        <v>29014.77</v>
      </c>
      <c r="M4" s="3">
        <v>1372.26</v>
      </c>
      <c r="N4" s="3">
        <v>3804.61</v>
      </c>
      <c r="O4" s="2">
        <v>4.7300000000000002E-2</v>
      </c>
      <c r="P4" s="2">
        <v>3.9E-2</v>
      </c>
      <c r="Q4" s="3">
        <v>6145.63</v>
      </c>
      <c r="R4" t="str">
        <f>""</f>
        <v/>
      </c>
    </row>
    <row r="5" spans="1:18" x14ac:dyDescent="0.25">
      <c r="A5" s="1">
        <v>46175</v>
      </c>
      <c r="B5" t="s">
        <v>0</v>
      </c>
      <c r="C5" s="2">
        <v>0.1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204809</v>
      </c>
      <c r="J5">
        <v>47.63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8.9999999999999998E-4</v>
      </c>
      <c r="Q5" s="3">
        <v>21945.91</v>
      </c>
      <c r="R5" t="str">
        <f>""</f>
        <v/>
      </c>
    </row>
    <row r="6" spans="1:18" x14ac:dyDescent="0.25">
      <c r="A6" s="1">
        <v>46175</v>
      </c>
      <c r="B6" t="s">
        <v>0</v>
      </c>
      <c r="C6" s="2">
        <v>1.8499999999999999E-2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37885.1</v>
      </c>
      <c r="J6">
        <v>187.55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3.7999999999999999E-2</v>
      </c>
      <c r="Q6" s="3">
        <v>22886.01</v>
      </c>
      <c r="R6" t="str">
        <f>""</f>
        <v/>
      </c>
    </row>
    <row r="7" spans="1:18" x14ac:dyDescent="0.25">
      <c r="A7" s="1">
        <v>46175</v>
      </c>
      <c r="B7" t="s">
        <v>0</v>
      </c>
      <c r="C7" s="2">
        <v>2.7400000000000001E-2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56192</v>
      </c>
      <c r="J7">
        <v>128</v>
      </c>
      <c r="K7">
        <v>15.5</v>
      </c>
      <c r="L7" s="3">
        <v>6803.24</v>
      </c>
      <c r="M7">
        <v>737.52</v>
      </c>
      <c r="N7" s="3">
        <v>19063.490000000002</v>
      </c>
      <c r="O7" s="2">
        <v>0.1084</v>
      </c>
      <c r="P7" s="2">
        <v>1.3100000000000001E-2</v>
      </c>
      <c r="Q7" s="3">
        <v>49388.76</v>
      </c>
      <c r="R7" t="str">
        <f>""</f>
        <v/>
      </c>
    </row>
    <row r="8" spans="1:18" x14ac:dyDescent="0.25">
      <c r="A8" s="1">
        <v>46175</v>
      </c>
      <c r="B8" t="s">
        <v>0</v>
      </c>
      <c r="C8" s="2">
        <v>7.6E-3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15595.62</v>
      </c>
      <c r="J8">
        <v>89.63</v>
      </c>
      <c r="K8">
        <v>100.4</v>
      </c>
      <c r="L8" s="3">
        <v>17469.25</v>
      </c>
      <c r="M8">
        <v>863.04</v>
      </c>
      <c r="N8">
        <v>431.52</v>
      </c>
      <c r="O8" s="2">
        <v>4.9399999999999999E-2</v>
      </c>
      <c r="P8" s="2">
        <v>5.5300000000000002E-2</v>
      </c>
      <c r="Q8" s="3">
        <v>-1873.63</v>
      </c>
      <c r="R8" t="str">
        <f>""</f>
        <v/>
      </c>
    </row>
    <row r="9" spans="1:18" x14ac:dyDescent="0.25">
      <c r="A9" s="1">
        <v>46175</v>
      </c>
      <c r="B9" t="s">
        <v>0</v>
      </c>
      <c r="C9" s="2">
        <v>1.5900000000000001E-2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32568.9</v>
      </c>
      <c r="J9">
        <v>250.53</v>
      </c>
      <c r="K9">
        <v>196.76</v>
      </c>
      <c r="L9" s="3">
        <v>25578.71</v>
      </c>
      <c r="M9" s="3">
        <v>1462.5</v>
      </c>
      <c r="N9" s="3">
        <v>4001.95</v>
      </c>
      <c r="O9" s="2">
        <v>5.7200000000000001E-2</v>
      </c>
      <c r="P9" s="2">
        <v>4.4900000000000002E-2</v>
      </c>
      <c r="Q9" s="3">
        <v>6990.19</v>
      </c>
      <c r="R9" t="str">
        <f>""</f>
        <v/>
      </c>
    </row>
    <row r="10" spans="1:18" x14ac:dyDescent="0.25">
      <c r="A10" s="1">
        <v>46175</v>
      </c>
      <c r="B10" t="s">
        <v>0</v>
      </c>
      <c r="C10" s="2">
        <v>1.3299999999999999E-2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27190</v>
      </c>
      <c r="J10">
        <v>108.76</v>
      </c>
      <c r="K10">
        <v>46.07</v>
      </c>
      <c r="L10" s="3">
        <v>11517.3</v>
      </c>
      <c r="M10">
        <v>918.93</v>
      </c>
      <c r="N10" s="3">
        <v>8436.67</v>
      </c>
      <c r="O10" s="2">
        <v>7.9799999999999996E-2</v>
      </c>
      <c r="P10" s="2">
        <v>3.3799999999999997E-2</v>
      </c>
      <c r="Q10" s="3">
        <v>15672.7</v>
      </c>
      <c r="R10" t="str">
        <f>""</f>
        <v/>
      </c>
    </row>
    <row r="11" spans="1:18" x14ac:dyDescent="0.25">
      <c r="A11" s="1">
        <v>46175</v>
      </c>
      <c r="B11" t="s">
        <v>0</v>
      </c>
      <c r="C11" s="2">
        <v>1.8200000000000001E-2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37273.5</v>
      </c>
      <c r="J11">
        <v>135.54</v>
      </c>
      <c r="K11">
        <v>70.02</v>
      </c>
      <c r="L11" s="3">
        <v>19255.41</v>
      </c>
      <c r="M11" s="3">
        <v>1133</v>
      </c>
      <c r="N11" s="3">
        <v>7500.1</v>
      </c>
      <c r="O11" s="2">
        <v>5.8799999999999998E-2</v>
      </c>
      <c r="P11" s="2">
        <v>3.04E-2</v>
      </c>
      <c r="Q11" s="3">
        <v>18018.09</v>
      </c>
      <c r="R11" t="str">
        <f>""</f>
        <v/>
      </c>
    </row>
    <row r="12" spans="1:18" x14ac:dyDescent="0.25">
      <c r="A12" s="1">
        <v>46175</v>
      </c>
      <c r="B12" t="s">
        <v>0</v>
      </c>
      <c r="C12" s="2">
        <v>8.2000000000000007E-3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16731.64</v>
      </c>
      <c r="J12">
        <v>46.22</v>
      </c>
      <c r="K12">
        <v>32.11</v>
      </c>
      <c r="L12" s="3">
        <v>11623.35</v>
      </c>
      <c r="M12">
        <v>376.48</v>
      </c>
      <c r="N12" s="3">
        <v>2316.36</v>
      </c>
      <c r="O12" s="2">
        <v>3.2399999999999998E-2</v>
      </c>
      <c r="P12" s="2">
        <v>2.2499999999999999E-2</v>
      </c>
      <c r="Q12" s="3">
        <v>5108.29</v>
      </c>
      <c r="R12" t="str">
        <f>""</f>
        <v/>
      </c>
    </row>
    <row r="13" spans="1:18" x14ac:dyDescent="0.25">
      <c r="A13" s="1">
        <v>46175</v>
      </c>
      <c r="B13" t="s">
        <v>0</v>
      </c>
      <c r="C13" s="2">
        <v>9.2999999999999992E-3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19045.2</v>
      </c>
      <c r="J13">
        <v>107.6</v>
      </c>
      <c r="K13">
        <v>45.01</v>
      </c>
      <c r="L13" s="3">
        <v>7966.77</v>
      </c>
      <c r="M13">
        <v>453.12</v>
      </c>
      <c r="N13" s="3">
        <v>5385.62</v>
      </c>
      <c r="O13" s="2">
        <v>5.6899999999999999E-2</v>
      </c>
      <c r="P13" s="2">
        <v>2.3800000000000002E-2</v>
      </c>
      <c r="Q13" s="3">
        <v>11078.43</v>
      </c>
      <c r="R13" t="str">
        <f>""</f>
        <v/>
      </c>
    </row>
    <row r="14" spans="1:18" x14ac:dyDescent="0.25">
      <c r="A14" s="1">
        <v>46175</v>
      </c>
      <c r="B14" t="s">
        <v>0</v>
      </c>
      <c r="C14" s="2">
        <v>1.6400000000000001E-2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33501.440000000002</v>
      </c>
      <c r="J14">
        <v>149.56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2.75E-2</v>
      </c>
      <c r="Q14" s="3">
        <v>25813.759999999998</v>
      </c>
      <c r="R14" t="str">
        <f>""</f>
        <v/>
      </c>
    </row>
    <row r="15" spans="1:18" x14ac:dyDescent="0.25">
      <c r="A15" s="1">
        <v>46175</v>
      </c>
      <c r="B15" t="s">
        <v>0</v>
      </c>
      <c r="C15" s="2">
        <v>1.3899999999999999E-2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28359.24</v>
      </c>
      <c r="J15">
        <v>337.61</v>
      </c>
      <c r="K15">
        <v>165.06</v>
      </c>
      <c r="L15" s="3">
        <v>13865.42</v>
      </c>
      <c r="M15">
        <v>534.24</v>
      </c>
      <c r="N15" s="3">
        <v>6054.91</v>
      </c>
      <c r="O15" s="2">
        <v>3.85E-2</v>
      </c>
      <c r="P15" s="2">
        <v>1.8800000000000001E-2</v>
      </c>
      <c r="Q15" s="3">
        <v>14493.82</v>
      </c>
      <c r="R15" t="str">
        <f>""</f>
        <v/>
      </c>
    </row>
    <row r="16" spans="1:18" x14ac:dyDescent="0.25">
      <c r="A16" s="1">
        <v>46175</v>
      </c>
      <c r="B16" t="s">
        <v>0</v>
      </c>
      <c r="C16" s="2">
        <v>2.4899999999999999E-2</v>
      </c>
      <c r="D16" t="str">
        <f>"GARA"</f>
        <v>GARA</v>
      </c>
      <c r="E16">
        <v>402031819</v>
      </c>
      <c r="F16" t="str">
        <f>"Guiness Atkinson Real Asset Fund"</f>
        <v>Guiness Atkinson Real Asset Fund</v>
      </c>
      <c r="G16" s="3">
        <v>1860</v>
      </c>
      <c r="H16" s="1">
        <v>46175</v>
      </c>
      <c r="I16" s="3">
        <v>50888.3</v>
      </c>
      <c r="J16">
        <v>27.36</v>
      </c>
      <c r="K16">
        <v>27.37</v>
      </c>
      <c r="L16" s="3">
        <v>50909.5</v>
      </c>
      <c r="M16">
        <v>0</v>
      </c>
      <c r="N16">
        <v>0</v>
      </c>
      <c r="O16" t="str">
        <f>""</f>
        <v/>
      </c>
      <c r="P16" s="2">
        <v>0</v>
      </c>
      <c r="Q16">
        <v>-21.2</v>
      </c>
      <c r="R16" t="str">
        <f>""</f>
        <v/>
      </c>
    </row>
    <row r="17" spans="1:18" x14ac:dyDescent="0.25">
      <c r="A17" s="1">
        <v>46175</v>
      </c>
      <c r="B17" t="s">
        <v>0</v>
      </c>
      <c r="C17" s="2">
        <v>4.4000000000000003E-3</v>
      </c>
      <c r="D17" t="str">
        <f>"HD"</f>
        <v>HD</v>
      </c>
      <c r="E17">
        <v>437076102</v>
      </c>
      <c r="F17" t="str">
        <f>"Home Depot"</f>
        <v>Home Depot</v>
      </c>
      <c r="G17">
        <v>29</v>
      </c>
      <c r="H17" s="1">
        <v>45203</v>
      </c>
      <c r="I17" s="3">
        <v>9034.08</v>
      </c>
      <c r="J17">
        <v>311.52</v>
      </c>
      <c r="K17">
        <v>291.48</v>
      </c>
      <c r="L17" s="3">
        <v>8452.7800000000007</v>
      </c>
      <c r="M17">
        <v>270.27999999999997</v>
      </c>
      <c r="N17" s="3">
        <v>2236.14</v>
      </c>
      <c r="O17" s="2">
        <v>3.2000000000000001E-2</v>
      </c>
      <c r="P17" s="2">
        <v>2.9899999999999999E-2</v>
      </c>
      <c r="Q17">
        <v>581.29999999999995</v>
      </c>
      <c r="R17" t="str">
        <f>""</f>
        <v/>
      </c>
    </row>
    <row r="18" spans="1:18" x14ac:dyDescent="0.25">
      <c r="A18" s="1">
        <v>46175</v>
      </c>
      <c r="B18" t="s">
        <v>0</v>
      </c>
      <c r="C18" s="2">
        <v>5.6899999999999999E-2</v>
      </c>
      <c r="D18" t="str">
        <f>"PXF"</f>
        <v>PXF</v>
      </c>
      <c r="E18" t="str">
        <f>"46138E743"</f>
        <v>46138E743</v>
      </c>
      <c r="F18" t="str">
        <f>"Invesco RAFI Developed Markets ex-US ETF"</f>
        <v>Invesco RAFI Developed Markets ex-US ETF</v>
      </c>
      <c r="G18" s="3">
        <v>1475</v>
      </c>
      <c r="H18" s="1">
        <v>45979</v>
      </c>
      <c r="I18" s="3">
        <v>116392.25</v>
      </c>
      <c r="J18">
        <v>78.91</v>
      </c>
      <c r="K18">
        <v>62.12</v>
      </c>
      <c r="L18" s="3">
        <v>91627</v>
      </c>
      <c r="M18" s="3">
        <v>3553.75</v>
      </c>
      <c r="N18" s="3">
        <v>1863.57</v>
      </c>
      <c r="O18" s="2">
        <v>3.8800000000000001E-2</v>
      </c>
      <c r="P18" s="2">
        <v>3.0499999999999999E-2</v>
      </c>
      <c r="Q18" s="3">
        <v>24765.25</v>
      </c>
      <c r="R18" t="str">
        <f>""</f>
        <v/>
      </c>
    </row>
    <row r="19" spans="1:18" x14ac:dyDescent="0.25">
      <c r="A19" s="1">
        <v>46175</v>
      </c>
      <c r="B19" t="s">
        <v>0</v>
      </c>
      <c r="C19" s="2">
        <v>3.9600000000000003E-2</v>
      </c>
      <c r="D19" t="str">
        <f>"PXH"</f>
        <v>PXH</v>
      </c>
      <c r="E19" t="str">
        <f>"46138E727"</f>
        <v>46138E727</v>
      </c>
      <c r="F19" t="str">
        <f>"Invesco RAFI Emerging Markets ETF"</f>
        <v>Invesco RAFI Emerging Markets ETF</v>
      </c>
      <c r="G19" s="3">
        <v>2706</v>
      </c>
      <c r="H19" s="1">
        <v>45979</v>
      </c>
      <c r="I19" s="3">
        <v>81098.820000000007</v>
      </c>
      <c r="J19">
        <v>29.97</v>
      </c>
      <c r="K19">
        <v>25.84</v>
      </c>
      <c r="L19" s="3">
        <v>69917.36</v>
      </c>
      <c r="M19" s="3">
        <v>2740.12</v>
      </c>
      <c r="N19" s="3">
        <v>1270.6300000000001</v>
      </c>
      <c r="O19" s="2">
        <v>3.9199999999999999E-2</v>
      </c>
      <c r="P19" s="2">
        <v>3.3799999999999997E-2</v>
      </c>
      <c r="Q19" s="3">
        <v>11181.46</v>
      </c>
      <c r="R19" t="str">
        <f>""</f>
        <v/>
      </c>
    </row>
    <row r="20" spans="1:18" x14ac:dyDescent="0.25">
      <c r="A20" s="1">
        <v>46175</v>
      </c>
      <c r="B20" t="s">
        <v>0</v>
      </c>
      <c r="C20" s="2">
        <v>0.1071</v>
      </c>
      <c r="D20" t="str">
        <f>"PRFZ"</f>
        <v>PRFZ</v>
      </c>
      <c r="E20" t="str">
        <f>"46137V597"</f>
        <v>46137V597</v>
      </c>
      <c r="F20" t="str">
        <f>"Invesco RAFI US 1500 Small-Mid ETF"</f>
        <v>Invesco RAFI US 1500 Small-Mid ETF</v>
      </c>
      <c r="G20" s="3">
        <v>4190</v>
      </c>
      <c r="H20" s="1">
        <v>45979</v>
      </c>
      <c r="I20" s="3">
        <v>219178.9</v>
      </c>
      <c r="J20">
        <v>52.31</v>
      </c>
      <c r="K20">
        <v>43.7</v>
      </c>
      <c r="L20" s="3">
        <v>183103</v>
      </c>
      <c r="M20" s="3">
        <v>1828.14</v>
      </c>
      <c r="N20">
        <v>905.54</v>
      </c>
      <c r="O20" s="2">
        <v>0.01</v>
      </c>
      <c r="P20" s="2">
        <v>8.3000000000000001E-3</v>
      </c>
      <c r="Q20" s="3">
        <v>36075.9</v>
      </c>
      <c r="R20" t="str">
        <f>""</f>
        <v/>
      </c>
    </row>
    <row r="21" spans="1:18" x14ac:dyDescent="0.25">
      <c r="A21" s="1">
        <v>46175</v>
      </c>
      <c r="B21" t="s">
        <v>0</v>
      </c>
      <c r="C21" s="2">
        <v>0.10050000000000001</v>
      </c>
      <c r="D21" t="str">
        <f>"RSP"</f>
        <v>RSP</v>
      </c>
      <c r="E21" t="str">
        <f>"46137V357"</f>
        <v>46137V357</v>
      </c>
      <c r="F21" t="str">
        <f>"Invesco S&amp;P 500® Equal Weight ETF"</f>
        <v>Invesco S&amp;P 500® Equal Weight ETF</v>
      </c>
      <c r="G21">
        <v>980</v>
      </c>
      <c r="H21" s="1">
        <v>45979</v>
      </c>
      <c r="I21" s="3">
        <v>205839.2</v>
      </c>
      <c r="J21">
        <v>210.04</v>
      </c>
      <c r="K21">
        <v>185.37</v>
      </c>
      <c r="L21" s="3">
        <v>181658.48</v>
      </c>
      <c r="M21" s="3">
        <v>3054.6</v>
      </c>
      <c r="N21" s="3">
        <v>1543.7</v>
      </c>
      <c r="O21" s="2">
        <v>1.6799999999999999E-2</v>
      </c>
      <c r="P21" s="2">
        <v>1.4800000000000001E-2</v>
      </c>
      <c r="Q21" s="3">
        <v>24180.720000000001</v>
      </c>
      <c r="R21" t="str">
        <f>""</f>
        <v/>
      </c>
    </row>
    <row r="22" spans="1:18" x14ac:dyDescent="0.25">
      <c r="A22" s="1">
        <v>46175</v>
      </c>
      <c r="B22" t="s">
        <v>0</v>
      </c>
      <c r="C22" s="2">
        <v>1.72E-2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35216.620000000003</v>
      </c>
      <c r="J22">
        <v>222.89</v>
      </c>
      <c r="K22">
        <v>61.02</v>
      </c>
      <c r="L22" s="3">
        <v>9640.58</v>
      </c>
      <c r="M22">
        <v>846.88</v>
      </c>
      <c r="N22" s="3">
        <v>20714.91</v>
      </c>
      <c r="O22" s="2">
        <v>8.7800000000000003E-2</v>
      </c>
      <c r="P22" s="2">
        <v>2.4E-2</v>
      </c>
      <c r="Q22" s="3">
        <v>25576.04</v>
      </c>
      <c r="R22" t="str">
        <f>""</f>
        <v/>
      </c>
    </row>
    <row r="23" spans="1:18" x14ac:dyDescent="0.25">
      <c r="A23" s="1">
        <v>46175</v>
      </c>
      <c r="B23" t="s">
        <v>0</v>
      </c>
      <c r="C23" s="2">
        <v>1.46E-2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29795.040000000001</v>
      </c>
      <c r="J23">
        <v>300.95999999999998</v>
      </c>
      <c r="K23">
        <v>37.340000000000003</v>
      </c>
      <c r="L23" s="3">
        <v>3696.66</v>
      </c>
      <c r="M23">
        <v>594</v>
      </c>
      <c r="N23" s="3">
        <v>15200.2</v>
      </c>
      <c r="O23" s="2">
        <v>0.16070000000000001</v>
      </c>
      <c r="P23" s="2">
        <v>1.9900000000000001E-2</v>
      </c>
      <c r="Q23" s="3">
        <v>26098.38</v>
      </c>
      <c r="R23" t="str">
        <f>""</f>
        <v/>
      </c>
    </row>
    <row r="24" spans="1:18" x14ac:dyDescent="0.25">
      <c r="A24" s="1">
        <v>46175</v>
      </c>
      <c r="B24" t="s">
        <v>0</v>
      </c>
      <c r="C24" s="2">
        <v>7.7999999999999996E-3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345</v>
      </c>
      <c r="H24" s="1">
        <v>46024</v>
      </c>
      <c r="I24" s="3">
        <v>15921.75</v>
      </c>
      <c r="J24">
        <v>46.15</v>
      </c>
      <c r="K24">
        <v>66.680000000000007</v>
      </c>
      <c r="L24" s="3">
        <v>23005.97</v>
      </c>
      <c r="M24">
        <v>662.4</v>
      </c>
      <c r="N24">
        <v>237.6</v>
      </c>
      <c r="O24" s="2">
        <v>2.8799999999999999E-2</v>
      </c>
      <c r="P24" s="2">
        <v>4.1599999999999998E-2</v>
      </c>
      <c r="Q24" s="3">
        <v>-7084.22</v>
      </c>
      <c r="R24" t="str">
        <f>""</f>
        <v/>
      </c>
    </row>
    <row r="25" spans="1:18" x14ac:dyDescent="0.25">
      <c r="A25" s="1">
        <v>46175</v>
      </c>
      <c r="B25" t="s">
        <v>0</v>
      </c>
      <c r="C25" s="2">
        <v>8.9999999999999993E-3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18437.5</v>
      </c>
      <c r="J25">
        <v>73.75</v>
      </c>
      <c r="K25">
        <v>86.99</v>
      </c>
      <c r="L25" s="3">
        <v>21747.46</v>
      </c>
      <c r="M25">
        <v>710</v>
      </c>
      <c r="N25" s="3">
        <v>6960.14</v>
      </c>
      <c r="O25" s="2">
        <v>3.2599999999999997E-2</v>
      </c>
      <c r="P25" s="2">
        <v>3.85E-2</v>
      </c>
      <c r="Q25" s="3">
        <v>-3309.96</v>
      </c>
      <c r="R25" t="str">
        <f>""</f>
        <v/>
      </c>
    </row>
    <row r="26" spans="1:18" x14ac:dyDescent="0.25">
      <c r="A26" s="1">
        <v>46175</v>
      </c>
      <c r="B26" t="s">
        <v>0</v>
      </c>
      <c r="C26" s="2">
        <v>2.2599999999999999E-2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46337.55</v>
      </c>
      <c r="J26">
        <v>441.31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8.2000000000000007E-3</v>
      </c>
      <c r="Q26" s="3">
        <v>43398</v>
      </c>
      <c r="R26" t="str">
        <f>""</f>
        <v/>
      </c>
    </row>
    <row r="27" spans="1:18" x14ac:dyDescent="0.25">
      <c r="A27" s="1">
        <v>46175</v>
      </c>
      <c r="B27" t="s">
        <v>0</v>
      </c>
      <c r="C27" s="2">
        <v>5.8999999999999999E-3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12025.75</v>
      </c>
      <c r="J27">
        <v>43.73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3.7499999999999999E-2</v>
      </c>
      <c r="Q27" s="3">
        <v>-5350.4</v>
      </c>
      <c r="R27" t="str">
        <f>""</f>
        <v/>
      </c>
    </row>
    <row r="28" spans="1:18" x14ac:dyDescent="0.25">
      <c r="A28" s="1">
        <v>46175</v>
      </c>
      <c r="B28" t="s">
        <v>0</v>
      </c>
      <c r="C28" s="2">
        <v>0.01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20387</v>
      </c>
      <c r="J28">
        <v>42.92</v>
      </c>
      <c r="K28">
        <v>52.05</v>
      </c>
      <c r="L28" s="3">
        <v>24721.38</v>
      </c>
      <c r="M28">
        <v>610.49</v>
      </c>
      <c r="N28">
        <v>578.25</v>
      </c>
      <c r="O28" s="2">
        <v>2.47E-2</v>
      </c>
      <c r="P28" s="2">
        <v>2.9899999999999999E-2</v>
      </c>
      <c r="Q28" s="3">
        <v>-4334.38</v>
      </c>
      <c r="R28" t="str">
        <f>""</f>
        <v/>
      </c>
    </row>
    <row r="29" spans="1:18" x14ac:dyDescent="0.25">
      <c r="A29" s="1">
        <v>46175</v>
      </c>
      <c r="B29" t="s">
        <v>0</v>
      </c>
      <c r="C29" s="2">
        <v>9.7999999999999997E-3</v>
      </c>
      <c r="D29" t="str">
        <f>"PAYX"</f>
        <v>PAYX</v>
      </c>
      <c r="E29">
        <v>704326107</v>
      </c>
      <c r="F29" t="str">
        <f>"Paychex"</f>
        <v>Paychex</v>
      </c>
      <c r="G29">
        <v>200</v>
      </c>
      <c r="H29" s="1">
        <v>46147</v>
      </c>
      <c r="I29" s="3">
        <v>20158</v>
      </c>
      <c r="J29">
        <v>100.79</v>
      </c>
      <c r="K29">
        <v>92.35</v>
      </c>
      <c r="L29" s="3">
        <v>18470</v>
      </c>
      <c r="M29">
        <v>952</v>
      </c>
      <c r="N29">
        <v>238</v>
      </c>
      <c r="O29" s="2">
        <v>5.1499999999999997E-2</v>
      </c>
      <c r="P29" s="2">
        <v>4.7199999999999999E-2</v>
      </c>
      <c r="Q29" s="3">
        <v>1688</v>
      </c>
      <c r="R29" t="str">
        <f>""</f>
        <v/>
      </c>
    </row>
    <row r="30" spans="1:18" x14ac:dyDescent="0.25">
      <c r="A30" s="1">
        <v>46175</v>
      </c>
      <c r="B30" t="s">
        <v>0</v>
      </c>
      <c r="C30" s="2">
        <v>9.1999999999999998E-3</v>
      </c>
      <c r="D30" t="str">
        <f>"PEP"</f>
        <v>PEP</v>
      </c>
      <c r="E30">
        <v>713448108</v>
      </c>
      <c r="F30" t="str">
        <f>"Pepsi"</f>
        <v>Pepsi</v>
      </c>
      <c r="G30">
        <v>132</v>
      </c>
      <c r="H30" s="1">
        <v>43258</v>
      </c>
      <c r="I30" s="3">
        <v>18744</v>
      </c>
      <c r="J30">
        <v>142</v>
      </c>
      <c r="K30">
        <v>101.38</v>
      </c>
      <c r="L30" s="3">
        <v>13382.42</v>
      </c>
      <c r="M30">
        <v>781.44</v>
      </c>
      <c r="N30" s="3">
        <v>6551.49</v>
      </c>
      <c r="O30" s="2">
        <v>5.8400000000000001E-2</v>
      </c>
      <c r="P30" s="2">
        <v>4.1700000000000001E-2</v>
      </c>
      <c r="Q30" s="3">
        <v>5361.58</v>
      </c>
      <c r="R30" t="str">
        <f>""</f>
        <v/>
      </c>
    </row>
    <row r="31" spans="1:18" x14ac:dyDescent="0.25">
      <c r="A31" s="1">
        <v>46175</v>
      </c>
      <c r="B31" t="s">
        <v>0</v>
      </c>
      <c r="C31" s="2">
        <v>8.0999999999999996E-3</v>
      </c>
      <c r="D31" t="str">
        <f>"PFE"</f>
        <v>PFE</v>
      </c>
      <c r="E31">
        <v>717081103</v>
      </c>
      <c r="F31" t="str">
        <f>"Pfizer"</f>
        <v>Pfizer</v>
      </c>
      <c r="G31">
        <v>650</v>
      </c>
      <c r="H31" s="1">
        <v>46024</v>
      </c>
      <c r="I31" s="3">
        <v>16607.5</v>
      </c>
      <c r="J31">
        <v>25.55</v>
      </c>
      <c r="K31">
        <v>24.98</v>
      </c>
      <c r="L31" s="3">
        <v>16239.6</v>
      </c>
      <c r="M31" s="3">
        <v>1118</v>
      </c>
      <c r="N31">
        <v>279.5</v>
      </c>
      <c r="O31" s="2">
        <v>6.88E-2</v>
      </c>
      <c r="P31" s="2">
        <v>6.7299999999999999E-2</v>
      </c>
      <c r="Q31">
        <v>367.9</v>
      </c>
      <c r="R31" t="str">
        <f>""</f>
        <v/>
      </c>
    </row>
    <row r="32" spans="1:18" x14ac:dyDescent="0.25">
      <c r="A32" s="1">
        <v>46175</v>
      </c>
      <c r="B32" t="s">
        <v>0</v>
      </c>
      <c r="C32" s="2">
        <v>8.8999999999999999E-3</v>
      </c>
      <c r="D32" t="str">
        <f>"PSX"</f>
        <v>PSX</v>
      </c>
      <c r="E32">
        <v>718546104</v>
      </c>
      <c r="F32" t="str">
        <f>"Phillips 66"</f>
        <v>Phillips 66</v>
      </c>
      <c r="G32">
        <v>100</v>
      </c>
      <c r="H32" s="1">
        <v>44701</v>
      </c>
      <c r="I32" s="3">
        <v>18256</v>
      </c>
      <c r="J32">
        <v>182.56</v>
      </c>
      <c r="K32">
        <v>93.15</v>
      </c>
      <c r="L32" s="3">
        <v>9315.27</v>
      </c>
      <c r="M32">
        <v>508</v>
      </c>
      <c r="N32" s="3">
        <v>4966.7</v>
      </c>
      <c r="O32" s="2">
        <v>5.45E-2</v>
      </c>
      <c r="P32" s="2">
        <v>2.7799999999999998E-2</v>
      </c>
      <c r="Q32" s="3">
        <v>8940.73</v>
      </c>
      <c r="R32" t="str">
        <f>""</f>
        <v/>
      </c>
    </row>
    <row r="33" spans="1:18" x14ac:dyDescent="0.25">
      <c r="A33" s="1">
        <v>46175</v>
      </c>
      <c r="B33" t="s">
        <v>0</v>
      </c>
      <c r="C33" s="2">
        <v>1.2699999999999999E-2</v>
      </c>
      <c r="D33" t="str">
        <f>"POR"</f>
        <v>POR</v>
      </c>
      <c r="E33">
        <v>736508847</v>
      </c>
      <c r="F33" t="str">
        <f>"Portland General Electric Co"</f>
        <v>Portland General Electric Co</v>
      </c>
      <c r="G33">
        <v>524</v>
      </c>
      <c r="H33" s="1">
        <v>45867</v>
      </c>
      <c r="I33" s="3">
        <v>25932.76</v>
      </c>
      <c r="J33">
        <v>49.49</v>
      </c>
      <c r="K33">
        <v>41.41</v>
      </c>
      <c r="L33" s="3">
        <v>21696.54</v>
      </c>
      <c r="M33" s="3">
        <v>1155.42</v>
      </c>
      <c r="N33" s="3">
        <v>1076.78</v>
      </c>
      <c r="O33" s="2">
        <v>5.33E-2</v>
      </c>
      <c r="P33" s="2">
        <v>4.4600000000000001E-2</v>
      </c>
      <c r="Q33" s="3">
        <v>4236.22</v>
      </c>
      <c r="R33" t="str">
        <f>""</f>
        <v/>
      </c>
    </row>
    <row r="34" spans="1:18" x14ac:dyDescent="0.25">
      <c r="A34" s="1">
        <v>46175</v>
      </c>
      <c r="B34" t="s">
        <v>0</v>
      </c>
      <c r="C34" s="2">
        <v>1.38E-2</v>
      </c>
      <c r="D34" t="str">
        <f>"PG"</f>
        <v>PG</v>
      </c>
      <c r="E34">
        <v>742718109</v>
      </c>
      <c r="F34" t="str">
        <f>"Procter &amp; Gamble"</f>
        <v>Procter &amp; Gamble</v>
      </c>
      <c r="G34">
        <v>201</v>
      </c>
      <c r="H34" s="1">
        <v>43223</v>
      </c>
      <c r="I34" s="3">
        <v>28304.82</v>
      </c>
      <c r="J34">
        <v>140.82</v>
      </c>
      <c r="K34">
        <v>92.82</v>
      </c>
      <c r="L34" s="3">
        <v>18656.240000000002</v>
      </c>
      <c r="M34">
        <v>875.15</v>
      </c>
      <c r="N34" s="3">
        <v>13276.6</v>
      </c>
      <c r="O34" s="2">
        <v>4.6899999999999997E-2</v>
      </c>
      <c r="P34" s="2">
        <v>3.09E-2</v>
      </c>
      <c r="Q34" s="3">
        <v>9648.58</v>
      </c>
      <c r="R34" t="str">
        <f>""</f>
        <v/>
      </c>
    </row>
    <row r="35" spans="1:18" x14ac:dyDescent="0.25">
      <c r="A35" s="1">
        <v>46175</v>
      </c>
      <c r="B35" t="s">
        <v>0</v>
      </c>
      <c r="C35" s="2">
        <v>8.9999999999999993E-3</v>
      </c>
      <c r="D35" t="str">
        <f>"PEG"</f>
        <v>PEG</v>
      </c>
      <c r="E35">
        <v>744573106</v>
      </c>
      <c r="F35" t="str">
        <f>"Public Service Enterprise Group"</f>
        <v>Public Service Enterprise Group</v>
      </c>
      <c r="G35">
        <v>235</v>
      </c>
      <c r="H35" s="1">
        <v>46175</v>
      </c>
      <c r="I35" s="3">
        <v>18405.2</v>
      </c>
      <c r="J35">
        <v>78.319999999999993</v>
      </c>
      <c r="K35">
        <v>78.03</v>
      </c>
      <c r="L35" s="3">
        <v>18337.07</v>
      </c>
      <c r="M35">
        <v>629.79999999999995</v>
      </c>
      <c r="N35">
        <v>0</v>
      </c>
      <c r="O35" s="2">
        <v>3.4299999999999997E-2</v>
      </c>
      <c r="P35" s="2">
        <v>3.4200000000000001E-2</v>
      </c>
      <c r="Q35">
        <v>68.13</v>
      </c>
      <c r="R35" t="str">
        <f>""</f>
        <v/>
      </c>
    </row>
    <row r="36" spans="1:18" x14ac:dyDescent="0.25">
      <c r="A36" s="1">
        <v>46175</v>
      </c>
      <c r="B36" t="s">
        <v>0</v>
      </c>
      <c r="C36" s="2">
        <v>8.0000000000000002E-3</v>
      </c>
      <c r="D36" t="str">
        <f>"O"</f>
        <v>O</v>
      </c>
      <c r="E36">
        <v>756109104</v>
      </c>
      <c r="F36" t="str">
        <f>"Realty Income"</f>
        <v>Realty Income</v>
      </c>
      <c r="G36">
        <v>272</v>
      </c>
      <c r="H36" s="1">
        <v>45362</v>
      </c>
      <c r="I36" s="3">
        <v>16295.52</v>
      </c>
      <c r="J36">
        <v>59.91</v>
      </c>
      <c r="K36">
        <v>51.48</v>
      </c>
      <c r="L36" s="3">
        <v>14002.71</v>
      </c>
      <c r="M36">
        <v>882.91</v>
      </c>
      <c r="N36" s="3">
        <v>4514.97</v>
      </c>
      <c r="O36" s="2">
        <v>6.3100000000000003E-2</v>
      </c>
      <c r="P36" s="2">
        <v>5.4199999999999998E-2</v>
      </c>
      <c r="Q36" s="3">
        <v>2292.81</v>
      </c>
      <c r="R36" t="str">
        <f>""</f>
        <v/>
      </c>
    </row>
    <row r="37" spans="1:18" x14ac:dyDescent="0.25">
      <c r="A37" s="1">
        <v>46175</v>
      </c>
      <c r="B37" t="s">
        <v>0</v>
      </c>
      <c r="C37" s="2">
        <v>1.2200000000000001E-2</v>
      </c>
      <c r="D37" t="str">
        <f>"RGA"</f>
        <v>RGA</v>
      </c>
      <c r="E37">
        <v>759351604</v>
      </c>
      <c r="F37" t="str">
        <f>"Reinsurance Group of America"</f>
        <v>Reinsurance Group of America</v>
      </c>
      <c r="G37">
        <v>126</v>
      </c>
      <c r="H37" s="1">
        <v>46024</v>
      </c>
      <c r="I37" s="3">
        <v>24994.62</v>
      </c>
      <c r="J37">
        <v>198.37</v>
      </c>
      <c r="K37">
        <v>206.1</v>
      </c>
      <c r="L37" s="3">
        <v>25968.03</v>
      </c>
      <c r="M37">
        <v>468.72</v>
      </c>
      <c r="N37">
        <v>210.18</v>
      </c>
      <c r="O37" s="2">
        <v>1.7999999999999999E-2</v>
      </c>
      <c r="P37" s="2">
        <v>1.8800000000000001E-2</v>
      </c>
      <c r="Q37">
        <v>-973.41</v>
      </c>
      <c r="R37" t="str">
        <f>""</f>
        <v/>
      </c>
    </row>
    <row r="38" spans="1:18" x14ac:dyDescent="0.25">
      <c r="A38" s="1">
        <v>46175</v>
      </c>
      <c r="B38" t="s">
        <v>0</v>
      </c>
      <c r="C38" s="2">
        <v>7.6999999999999999E-2</v>
      </c>
      <c r="D38" t="str">
        <f>"XOP"</f>
        <v>XOP</v>
      </c>
      <c r="E38" t="str">
        <f>"78468R556"</f>
        <v>78468R556</v>
      </c>
      <c r="F38" t="str">
        <f>"SPDR® S&amp;P Oil &amp; Gas Explor &amp; Prodtn ETF"</f>
        <v>SPDR® S&amp;P Oil &amp; Gas Explor &amp; Prodtn ETF</v>
      </c>
      <c r="G38">
        <v>934</v>
      </c>
      <c r="H38" s="1">
        <v>45979</v>
      </c>
      <c r="I38" s="3">
        <v>157705.9</v>
      </c>
      <c r="J38">
        <v>168.85</v>
      </c>
      <c r="K38">
        <v>130.66</v>
      </c>
      <c r="L38" s="3">
        <v>122034.62</v>
      </c>
      <c r="M38" s="3">
        <v>3038.29</v>
      </c>
      <c r="N38" s="3">
        <v>1148.1400000000001</v>
      </c>
      <c r="O38" s="2">
        <v>2.4899999999999999E-2</v>
      </c>
      <c r="P38" s="2">
        <v>1.9300000000000001E-2</v>
      </c>
      <c r="Q38" s="3">
        <v>35671.279999999999</v>
      </c>
      <c r="R38" t="str">
        <f>""</f>
        <v/>
      </c>
    </row>
    <row r="39" spans="1:18" x14ac:dyDescent="0.25">
      <c r="A39" s="1">
        <v>46175</v>
      </c>
      <c r="B39" t="s">
        <v>0</v>
      </c>
      <c r="C39" s="2">
        <v>8.8999999999999999E-3</v>
      </c>
      <c r="D39" t="str">
        <f>"TROW"</f>
        <v>TROW</v>
      </c>
      <c r="E39" t="str">
        <f>"74144T108"</f>
        <v>74144T108</v>
      </c>
      <c r="F39" t="str">
        <f>"T. Rowe Price"</f>
        <v>T. Rowe Price</v>
      </c>
      <c r="G39">
        <v>175</v>
      </c>
      <c r="H39" s="1">
        <v>46024</v>
      </c>
      <c r="I39" s="3">
        <v>18254.25</v>
      </c>
      <c r="J39">
        <v>104.31</v>
      </c>
      <c r="K39">
        <v>102.93</v>
      </c>
      <c r="L39" s="3">
        <v>18012.16</v>
      </c>
      <c r="M39">
        <v>910</v>
      </c>
      <c r="N39">
        <v>227.5</v>
      </c>
      <c r="O39" s="2">
        <v>5.0500000000000003E-2</v>
      </c>
      <c r="P39" s="2">
        <v>4.99E-2</v>
      </c>
      <c r="Q39">
        <v>242.09</v>
      </c>
      <c r="R39" t="str">
        <f>""</f>
        <v/>
      </c>
    </row>
    <row r="40" spans="1:18" x14ac:dyDescent="0.25">
      <c r="A40" s="1">
        <v>46175</v>
      </c>
      <c r="B40" t="s">
        <v>0</v>
      </c>
      <c r="C40" s="2">
        <v>2.2599999999999999E-2</v>
      </c>
      <c r="D40" t="str">
        <f>"TXN"</f>
        <v>TXN</v>
      </c>
      <c r="E40">
        <v>882508104</v>
      </c>
      <c r="F40" t="str">
        <f>"Texas Instruments"</f>
        <v>Texas Instruments</v>
      </c>
      <c r="G40">
        <v>150</v>
      </c>
      <c r="H40" s="1">
        <v>41675</v>
      </c>
      <c r="I40" s="3">
        <v>46218</v>
      </c>
      <c r="J40">
        <v>308.12</v>
      </c>
      <c r="K40">
        <v>40.479999999999997</v>
      </c>
      <c r="L40" s="3">
        <v>6072.09</v>
      </c>
      <c r="M40">
        <v>852</v>
      </c>
      <c r="N40" s="3">
        <v>13006.4</v>
      </c>
      <c r="O40" s="2">
        <v>0.14030000000000001</v>
      </c>
      <c r="P40" s="2">
        <v>1.84E-2</v>
      </c>
      <c r="Q40" s="3">
        <v>40145.910000000003</v>
      </c>
      <c r="R40" t="str">
        <f>""</f>
        <v/>
      </c>
    </row>
    <row r="41" spans="1:18" x14ac:dyDescent="0.25">
      <c r="A41" s="1">
        <v>46175</v>
      </c>
      <c r="B41" t="s">
        <v>0</v>
      </c>
      <c r="C41" s="2">
        <v>1.1299999999999999E-2</v>
      </c>
      <c r="D41" t="str">
        <f>"TTE"</f>
        <v>TTE</v>
      </c>
      <c r="E41" t="str">
        <f>"F92124100"</f>
        <v>F92124100</v>
      </c>
      <c r="F41" t="str">
        <f>"Total SA"</f>
        <v>Total SA</v>
      </c>
      <c r="G41">
        <v>259</v>
      </c>
      <c r="H41" s="1">
        <v>43874</v>
      </c>
      <c r="I41" s="3">
        <v>23154.6</v>
      </c>
      <c r="J41">
        <v>89.4</v>
      </c>
      <c r="K41">
        <v>49.35</v>
      </c>
      <c r="L41" s="3">
        <v>12782.93</v>
      </c>
      <c r="M41">
        <v>0</v>
      </c>
      <c r="N41" s="3">
        <v>9501.4699999999993</v>
      </c>
      <c r="O41" t="str">
        <f>""</f>
        <v/>
      </c>
      <c r="P41" s="2">
        <v>0</v>
      </c>
      <c r="Q41" s="3">
        <v>10371.67</v>
      </c>
      <c r="R41" t="str">
        <f>""</f>
        <v/>
      </c>
    </row>
    <row r="42" spans="1:18" x14ac:dyDescent="0.25">
      <c r="A42" s="1">
        <v>46175</v>
      </c>
      <c r="B42" t="s">
        <v>0</v>
      </c>
      <c r="C42" s="2">
        <v>1.12E-2</v>
      </c>
      <c r="D42" t="str">
        <f>"UL"</f>
        <v>UL</v>
      </c>
      <c r="E42">
        <v>904767803</v>
      </c>
      <c r="F42" t="str">
        <f>"Unilever PLC"</f>
        <v>Unilever PLC</v>
      </c>
      <c r="G42">
        <v>414</v>
      </c>
      <c r="H42" s="1">
        <v>43906</v>
      </c>
      <c r="I42" s="3">
        <v>22989.42</v>
      </c>
      <c r="J42">
        <v>55.53</v>
      </c>
      <c r="K42">
        <v>52.78</v>
      </c>
      <c r="L42" s="3">
        <v>21852.28</v>
      </c>
      <c r="M42">
        <v>934.68</v>
      </c>
      <c r="N42" s="3">
        <v>11738.71</v>
      </c>
      <c r="O42" s="2">
        <v>4.2799999999999998E-2</v>
      </c>
      <c r="P42" s="2">
        <v>4.07E-2</v>
      </c>
      <c r="Q42" s="3">
        <v>1137.1400000000001</v>
      </c>
      <c r="R42" t="str">
        <f>""</f>
        <v/>
      </c>
    </row>
    <row r="43" spans="1:18" x14ac:dyDescent="0.25">
      <c r="A43" s="1">
        <v>46175</v>
      </c>
      <c r="B43" t="s">
        <v>0</v>
      </c>
      <c r="C43" s="2">
        <v>7.0000000000000001E-3</v>
      </c>
      <c r="D43" t="str">
        <f>"UNP"</f>
        <v>UNP</v>
      </c>
      <c r="E43">
        <v>907818108</v>
      </c>
      <c r="F43" t="str">
        <f>"Union Pacific"</f>
        <v>Union Pacific</v>
      </c>
      <c r="G43">
        <v>54</v>
      </c>
      <c r="H43" s="1">
        <v>45092</v>
      </c>
      <c r="I43" s="3">
        <v>14292.72</v>
      </c>
      <c r="J43">
        <v>264.68</v>
      </c>
      <c r="K43">
        <v>205.84</v>
      </c>
      <c r="L43" s="3">
        <v>11115.38</v>
      </c>
      <c r="M43">
        <v>298.08</v>
      </c>
      <c r="N43" s="3">
        <v>2119.14</v>
      </c>
      <c r="O43" s="2">
        <v>2.6800000000000001E-2</v>
      </c>
      <c r="P43" s="2">
        <v>2.0899999999999998E-2</v>
      </c>
      <c r="Q43" s="3">
        <v>3177.34</v>
      </c>
      <c r="R43" t="str">
        <f>""</f>
        <v/>
      </c>
    </row>
    <row r="44" spans="1:18" x14ac:dyDescent="0.25">
      <c r="A44" s="1">
        <v>46175</v>
      </c>
      <c r="B44" t="s">
        <v>0</v>
      </c>
      <c r="C44" s="2">
        <v>8.8000000000000005E-3</v>
      </c>
      <c r="D44" t="str">
        <f>"VZ"</f>
        <v>VZ</v>
      </c>
      <c r="E44" t="str">
        <f>"92343V104"</f>
        <v>92343V104</v>
      </c>
      <c r="F44" t="str">
        <f>"Verizon"</f>
        <v>Verizon</v>
      </c>
      <c r="G44">
        <v>377</v>
      </c>
      <c r="H44" s="1">
        <v>42241</v>
      </c>
      <c r="I44" s="3">
        <v>18046.990000000002</v>
      </c>
      <c r="J44">
        <v>47.87</v>
      </c>
      <c r="K44">
        <v>36.86</v>
      </c>
      <c r="L44" s="3">
        <v>13896.79</v>
      </c>
      <c r="M44" s="3">
        <v>1066.9100000000001</v>
      </c>
      <c r="N44" s="3">
        <v>25353</v>
      </c>
      <c r="O44" s="2">
        <v>7.6799999999999993E-2</v>
      </c>
      <c r="P44" s="2">
        <v>5.91E-2</v>
      </c>
      <c r="Q44" s="3">
        <v>4150.2</v>
      </c>
      <c r="R44" t="str">
        <f>""</f>
        <v/>
      </c>
    </row>
    <row r="45" spans="1:18" x14ac:dyDescent="0.25">
      <c r="A45" s="1">
        <v>46175</v>
      </c>
      <c r="B45" t="s">
        <v>0</v>
      </c>
      <c r="C45" s="2">
        <v>2.2599999999999999E-2</v>
      </c>
      <c r="D45" t="str">
        <f>"CEF"</f>
        <v>CEF</v>
      </c>
      <c r="E45" t="str">
        <f>"85208R101"</f>
        <v>85208R101</v>
      </c>
      <c r="F45" t="str">
        <f>"Sprott Physical Gold and Silver Trust"</f>
        <v>Sprott Physical Gold and Silver Trust</v>
      </c>
      <c r="G45">
        <v>980</v>
      </c>
      <c r="H45" s="1">
        <v>45979</v>
      </c>
      <c r="I45" s="3">
        <v>46207</v>
      </c>
      <c r="J45">
        <v>47.15</v>
      </c>
      <c r="K45">
        <v>38.89</v>
      </c>
      <c r="L45" s="3">
        <v>38109.06</v>
      </c>
      <c r="M45">
        <v>0</v>
      </c>
      <c r="N45">
        <v>0</v>
      </c>
      <c r="O45" t="str">
        <f>""</f>
        <v/>
      </c>
      <c r="P45" s="2">
        <v>0</v>
      </c>
      <c r="Q45" s="3">
        <v>8097.94</v>
      </c>
      <c r="R45" t="str">
        <f>""</f>
        <v/>
      </c>
    </row>
    <row r="46" spans="1:18" x14ac:dyDescent="0.25">
      <c r="A46" s="1">
        <v>46175</v>
      </c>
      <c r="B46" t="s">
        <v>0</v>
      </c>
      <c r="C46" s="2">
        <v>1.6999999999999999E-3</v>
      </c>
      <c r="D46" t="str">
        <f>"CASH"</f>
        <v>CASH</v>
      </c>
      <c r="E46" t="str">
        <f>""</f>
        <v/>
      </c>
      <c r="F46" t="str">
        <f>"Cash"</f>
        <v>Cash</v>
      </c>
      <c r="G46" t="str">
        <f>""</f>
        <v/>
      </c>
      <c r="H46" t="str">
        <f>""</f>
        <v/>
      </c>
      <c r="I46" s="3">
        <v>3397.55</v>
      </c>
      <c r="J46" t="str">
        <f>""</f>
        <v/>
      </c>
      <c r="K46" t="str">
        <f>""</f>
        <v/>
      </c>
      <c r="L46" s="3">
        <v>3397.55</v>
      </c>
      <c r="M46">
        <v>33.979999999999997</v>
      </c>
      <c r="N46" s="3">
        <v>1958.5</v>
      </c>
      <c r="O46" s="2">
        <v>0.01</v>
      </c>
      <c r="P46" s="2">
        <v>0.01</v>
      </c>
      <c r="Q46">
        <v>0</v>
      </c>
      <c r="R46" t="str">
        <f>""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8CEF7208-21A5-4BAE-AE89-10F9C7FEA31D}"/>
</file>

<file path=customXml/itemProps2.xml><?xml version="1.0" encoding="utf-8"?>
<ds:datastoreItem xmlns:ds="http://schemas.openxmlformats.org/officeDocument/2006/customXml" ds:itemID="{CD098924-8D31-400A-A91F-FD68F8836EA6}"/>
</file>

<file path=customXml/itemProps3.xml><?xml version="1.0" encoding="utf-8"?>
<ds:datastoreItem xmlns:ds="http://schemas.openxmlformats.org/officeDocument/2006/customXml" ds:itemID="{FC1A2E93-697F-48B6-9CBA-2967B66182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2026-06-03T16:23:35Z</dcterms:created>
  <dcterms:modified xsi:type="dcterms:W3CDTF">2026-06-03T16:23:35Z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