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tincp1.sharepoint.com/sites/Eugene/Shared Documents/Operations/Scripts/Portfolio Dashboard/data/"/>
    </mc:Choice>
  </mc:AlternateContent>
  <xr:revisionPtr revIDLastSave="5" documentId="8_{E5A2461E-E7D9-40B5-ACD9-863180BF669C}" xr6:coauthVersionLast="47" xr6:coauthVersionMax="47" xr10:uidLastSave="{BFCDD470-657C-47B5-8553-DFBAC89F3311}"/>
  <bookViews>
    <workbookView xWindow="-28920" yWindow="-120" windowWidth="29040" windowHeight="15720" xr2:uid="{2B840D57-0EA2-494E-9DF5-3E4C4D0760AB}"/>
  </bookViews>
  <sheets>
    <sheet name="QDVD" sheetId="1" r:id="rId1"/>
    <sheet name="SMID" sheetId="2" r:id="rId2"/>
    <sheet name="DAC" sheetId="3" r:id="rId3"/>
    <sheet name="OR" sheetId="4" r:id="rId4"/>
    <sheet name="DC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  <c r="B1" i="5"/>
  <c r="C1" i="5"/>
  <c r="D1" i="5"/>
  <c r="E1" i="5"/>
  <c r="F1" i="5"/>
  <c r="G1" i="5"/>
  <c r="H1" i="5"/>
  <c r="I1" i="5"/>
  <c r="J1" i="5"/>
  <c r="K1" i="5"/>
  <c r="L1" i="5"/>
  <c r="M1" i="5"/>
  <c r="D2" i="5"/>
  <c r="E2" i="5"/>
  <c r="F2" i="5"/>
  <c r="D3" i="5"/>
  <c r="E3" i="5"/>
  <c r="F3" i="5"/>
  <c r="D4" i="5"/>
  <c r="E4" i="5"/>
  <c r="F4" i="5"/>
  <c r="D5" i="5"/>
  <c r="E5" i="5"/>
  <c r="F5" i="5"/>
  <c r="D6" i="5"/>
  <c r="F6" i="5"/>
  <c r="D7" i="5"/>
  <c r="E7" i="5"/>
  <c r="F7" i="5"/>
  <c r="D8" i="5"/>
  <c r="F8" i="5"/>
  <c r="D9" i="5"/>
  <c r="E9" i="5"/>
  <c r="F9" i="5"/>
  <c r="D10" i="5"/>
  <c r="F10" i="5"/>
  <c r="D11" i="5"/>
  <c r="F11" i="5"/>
  <c r="D12" i="5"/>
  <c r="E12" i="5"/>
  <c r="F12" i="5"/>
  <c r="D13" i="5"/>
  <c r="E13" i="5"/>
  <c r="F13" i="5"/>
  <c r="D14" i="5"/>
  <c r="E14" i="5"/>
  <c r="F14" i="5"/>
  <c r="D15" i="5"/>
  <c r="F15" i="5"/>
  <c r="D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F21" i="5"/>
  <c r="D22" i="5"/>
  <c r="F22" i="5"/>
  <c r="D23" i="5"/>
  <c r="E23" i="5"/>
  <c r="F23" i="5"/>
  <c r="D24" i="5"/>
  <c r="F24" i="5"/>
  <c r="D25" i="5"/>
  <c r="E25" i="5"/>
  <c r="F25" i="5"/>
  <c r="D26" i="5"/>
  <c r="F26" i="5"/>
  <c r="D27" i="5"/>
  <c r="F27" i="5"/>
  <c r="D28" i="5"/>
  <c r="F28" i="5"/>
  <c r="D29" i="5"/>
  <c r="F29" i="5"/>
  <c r="D30" i="5"/>
  <c r="F30" i="5"/>
  <c r="D31" i="5"/>
  <c r="F31" i="5"/>
  <c r="D32" i="5"/>
  <c r="F32" i="5"/>
  <c r="D33" i="5"/>
  <c r="F33" i="5"/>
  <c r="D34" i="5"/>
  <c r="F34" i="5"/>
  <c r="D35" i="5"/>
  <c r="F35" i="5"/>
  <c r="D36" i="5"/>
  <c r="E36" i="5"/>
  <c r="F36" i="5"/>
  <c r="D37" i="5"/>
  <c r="E37" i="5"/>
  <c r="F37" i="5"/>
  <c r="D38" i="5"/>
  <c r="F38" i="5"/>
  <c r="D39" i="5"/>
  <c r="E39" i="5"/>
  <c r="F39" i="5"/>
  <c r="L39" i="5"/>
  <c r="D40" i="5"/>
  <c r="F40" i="5"/>
  <c r="D41" i="5"/>
  <c r="F41" i="5"/>
  <c r="D42" i="5"/>
  <c r="F42" i="5"/>
  <c r="D43" i="5"/>
  <c r="E43" i="5"/>
  <c r="F43" i="5"/>
  <c r="D44" i="5"/>
  <c r="E44" i="5"/>
  <c r="F44" i="5"/>
  <c r="L44" i="5"/>
  <c r="D45" i="5"/>
  <c r="E45" i="5"/>
  <c r="F45" i="5"/>
  <c r="G45" i="5"/>
  <c r="H45" i="5"/>
  <c r="A1" i="4"/>
  <c r="B1" i="4"/>
  <c r="C1" i="4"/>
  <c r="D1" i="4"/>
  <c r="E1" i="4"/>
  <c r="F1" i="4"/>
  <c r="G1" i="4"/>
  <c r="H1" i="4"/>
  <c r="I1" i="4"/>
  <c r="J1" i="4"/>
  <c r="K1" i="4"/>
  <c r="L1" i="4"/>
  <c r="M1" i="4"/>
  <c r="B2" i="4"/>
  <c r="D2" i="4"/>
  <c r="E2" i="4"/>
  <c r="F2" i="4"/>
  <c r="B3" i="4"/>
  <c r="D3" i="4"/>
  <c r="E3" i="4"/>
  <c r="F3" i="4"/>
  <c r="B4" i="4"/>
  <c r="D4" i="4"/>
  <c r="E4" i="4"/>
  <c r="F4" i="4"/>
  <c r="B5" i="4"/>
  <c r="D5" i="4"/>
  <c r="F5" i="4"/>
  <c r="B6" i="4"/>
  <c r="D6" i="4"/>
  <c r="E6" i="4"/>
  <c r="F6" i="4"/>
  <c r="B7" i="4"/>
  <c r="D7" i="4"/>
  <c r="F7" i="4"/>
  <c r="B8" i="4"/>
  <c r="D8" i="4"/>
  <c r="F8" i="4"/>
  <c r="B9" i="4"/>
  <c r="D9" i="4"/>
  <c r="E9" i="4"/>
  <c r="F9" i="4"/>
  <c r="B10" i="4"/>
  <c r="D10" i="4"/>
  <c r="F10" i="4"/>
  <c r="B11" i="4"/>
  <c r="D11" i="4"/>
  <c r="F11" i="4"/>
  <c r="B12" i="4"/>
  <c r="D12" i="4"/>
  <c r="F12" i="4"/>
  <c r="B13" i="4"/>
  <c r="D13" i="4"/>
  <c r="F13" i="4"/>
  <c r="B14" i="4"/>
  <c r="D14" i="4"/>
  <c r="E14" i="4"/>
  <c r="F14" i="4"/>
  <c r="B15" i="4"/>
  <c r="D15" i="4"/>
  <c r="F15" i="4"/>
  <c r="B16" i="4"/>
  <c r="D16" i="4"/>
  <c r="F16" i="4"/>
  <c r="B17" i="4"/>
  <c r="D17" i="4"/>
  <c r="E17" i="4"/>
  <c r="F17" i="4"/>
  <c r="B18" i="4"/>
  <c r="D18" i="4"/>
  <c r="F18" i="4"/>
  <c r="B19" i="4"/>
  <c r="D19" i="4"/>
  <c r="F19" i="4"/>
  <c r="B20" i="4"/>
  <c r="D20" i="4"/>
  <c r="F20" i="4"/>
  <c r="B21" i="4"/>
  <c r="D21" i="4"/>
  <c r="F21" i="4"/>
  <c r="B22" i="4"/>
  <c r="D22" i="4"/>
  <c r="F22" i="4"/>
  <c r="B23" i="4"/>
  <c r="D23" i="4"/>
  <c r="F23" i="4"/>
  <c r="B24" i="4"/>
  <c r="D24" i="4"/>
  <c r="F24" i="4"/>
  <c r="B25" i="4"/>
  <c r="D25" i="4"/>
  <c r="E25" i="4"/>
  <c r="F25" i="4"/>
  <c r="B26" i="4"/>
  <c r="D26" i="4"/>
  <c r="F26" i="4"/>
  <c r="B27" i="4"/>
  <c r="D27" i="4"/>
  <c r="E27" i="4"/>
  <c r="F27" i="4"/>
  <c r="B28" i="4"/>
  <c r="D28" i="4"/>
  <c r="F28" i="4"/>
  <c r="B29" i="4"/>
  <c r="D29" i="4"/>
  <c r="F29" i="4"/>
  <c r="B30" i="4"/>
  <c r="D30" i="4"/>
  <c r="E30" i="4"/>
  <c r="F30" i="4"/>
  <c r="B31" i="4"/>
  <c r="D31" i="4"/>
  <c r="F31" i="4"/>
  <c r="B32" i="4"/>
  <c r="D32" i="4"/>
  <c r="F32" i="4"/>
  <c r="B33" i="4"/>
  <c r="D33" i="4"/>
  <c r="F33" i="4"/>
  <c r="B34" i="4"/>
  <c r="D34" i="4"/>
  <c r="F34" i="4"/>
  <c r="B35" i="4"/>
  <c r="D35" i="4"/>
  <c r="E35" i="4"/>
  <c r="F35" i="4"/>
  <c r="B36" i="4"/>
  <c r="D36" i="4"/>
  <c r="E36" i="4"/>
  <c r="F36" i="4"/>
  <c r="G36" i="4"/>
  <c r="H36" i="4"/>
  <c r="A1" i="3"/>
  <c r="B1" i="3"/>
  <c r="C1" i="3"/>
  <c r="D1" i="3"/>
  <c r="E1" i="3"/>
  <c r="F1" i="3"/>
  <c r="G1" i="3"/>
  <c r="H1" i="3"/>
  <c r="I1" i="3"/>
  <c r="J1" i="3"/>
  <c r="K1" i="3"/>
  <c r="L1" i="3"/>
  <c r="M1" i="3"/>
  <c r="B2" i="3"/>
  <c r="D2" i="3"/>
  <c r="E2" i="3"/>
  <c r="F2" i="3"/>
  <c r="B3" i="3"/>
  <c r="D3" i="3"/>
  <c r="E3" i="3"/>
  <c r="F3" i="3"/>
  <c r="B4" i="3"/>
  <c r="D4" i="3"/>
  <c r="E4" i="3"/>
  <c r="F4" i="3"/>
  <c r="B5" i="3"/>
  <c r="D5" i="3"/>
  <c r="E5" i="3"/>
  <c r="F5" i="3"/>
  <c r="B6" i="3"/>
  <c r="D6" i="3"/>
  <c r="E6" i="3"/>
  <c r="F6" i="3"/>
  <c r="B7" i="3"/>
  <c r="D7" i="3"/>
  <c r="F7" i="3"/>
  <c r="B8" i="3"/>
  <c r="D8" i="3"/>
  <c r="E8" i="3"/>
  <c r="F8" i="3"/>
  <c r="B9" i="3"/>
  <c r="D9" i="3"/>
  <c r="F9" i="3"/>
  <c r="B10" i="3"/>
  <c r="D10" i="3"/>
  <c r="E10" i="3"/>
  <c r="F10" i="3"/>
  <c r="B11" i="3"/>
  <c r="D11" i="3"/>
  <c r="F11" i="3"/>
  <c r="B12" i="3"/>
  <c r="D12" i="3"/>
  <c r="E12" i="3"/>
  <c r="F12" i="3"/>
  <c r="B13" i="3"/>
  <c r="D13" i="3"/>
  <c r="F13" i="3"/>
  <c r="B14" i="3"/>
  <c r="D14" i="3"/>
  <c r="E14" i="3"/>
  <c r="F14" i="3"/>
  <c r="B15" i="3"/>
  <c r="D15" i="3"/>
  <c r="E15" i="3"/>
  <c r="F15" i="3"/>
  <c r="B16" i="3"/>
  <c r="D16" i="3"/>
  <c r="F16" i="3"/>
  <c r="B17" i="3"/>
  <c r="D17" i="3"/>
  <c r="F17" i="3"/>
  <c r="B18" i="3"/>
  <c r="D18" i="3"/>
  <c r="F18" i="3"/>
  <c r="B19" i="3"/>
  <c r="D19" i="3"/>
  <c r="F19" i="3"/>
  <c r="B20" i="3"/>
  <c r="D20" i="3"/>
  <c r="F20" i="3"/>
  <c r="B21" i="3"/>
  <c r="D21" i="3"/>
  <c r="F21" i="3"/>
  <c r="B22" i="3"/>
  <c r="D22" i="3"/>
  <c r="F22" i="3"/>
  <c r="B23" i="3"/>
  <c r="D23" i="3"/>
  <c r="E23" i="3"/>
  <c r="F23" i="3"/>
  <c r="B24" i="3"/>
  <c r="D24" i="3"/>
  <c r="F24" i="3"/>
  <c r="B25" i="3"/>
  <c r="D25" i="3"/>
  <c r="F25" i="3"/>
  <c r="B26" i="3"/>
  <c r="D26" i="3"/>
  <c r="E26" i="3"/>
  <c r="F26" i="3"/>
  <c r="B27" i="3"/>
  <c r="D27" i="3"/>
  <c r="F27" i="3"/>
  <c r="B28" i="3"/>
  <c r="D28" i="3"/>
  <c r="F28" i="3"/>
  <c r="B29" i="3"/>
  <c r="D29" i="3"/>
  <c r="F29" i="3"/>
  <c r="B30" i="3"/>
  <c r="D30" i="3"/>
  <c r="F30" i="3"/>
  <c r="B31" i="3"/>
  <c r="D31" i="3"/>
  <c r="F31" i="3"/>
  <c r="B32" i="3"/>
  <c r="D32" i="3"/>
  <c r="F32" i="3"/>
  <c r="B33" i="3"/>
  <c r="D33" i="3"/>
  <c r="F33" i="3"/>
  <c r="B34" i="3"/>
  <c r="D34" i="3"/>
  <c r="F34" i="3"/>
  <c r="B35" i="3"/>
  <c r="D35" i="3"/>
  <c r="E35" i="3"/>
  <c r="F35" i="3"/>
  <c r="B36" i="3"/>
  <c r="D36" i="3"/>
  <c r="F36" i="3"/>
  <c r="B37" i="3"/>
  <c r="D37" i="3"/>
  <c r="E37" i="3"/>
  <c r="F37" i="3"/>
  <c r="B38" i="3"/>
  <c r="D38" i="3"/>
  <c r="F38" i="3"/>
  <c r="B39" i="3"/>
  <c r="D39" i="3"/>
  <c r="F39" i="3"/>
  <c r="B40" i="3"/>
  <c r="D40" i="3"/>
  <c r="F40" i="3"/>
  <c r="B41" i="3"/>
  <c r="D41" i="3"/>
  <c r="F41" i="3"/>
  <c r="B42" i="3"/>
  <c r="D42" i="3"/>
  <c r="E42" i="3"/>
  <c r="F42" i="3"/>
  <c r="B43" i="3"/>
  <c r="D43" i="3"/>
  <c r="F43" i="3"/>
  <c r="B44" i="3"/>
  <c r="D44" i="3"/>
  <c r="F44" i="3"/>
  <c r="B45" i="3"/>
  <c r="D45" i="3"/>
  <c r="F45" i="3"/>
  <c r="B46" i="3"/>
  <c r="D46" i="3"/>
  <c r="E46" i="3"/>
  <c r="F46" i="3"/>
  <c r="B47" i="3"/>
  <c r="D47" i="3"/>
  <c r="E47" i="3"/>
  <c r="F47" i="3"/>
  <c r="G47" i="3"/>
  <c r="H47" i="3"/>
  <c r="A1" i="2"/>
  <c r="B1" i="2"/>
  <c r="C1" i="2"/>
  <c r="D1" i="2"/>
  <c r="E1" i="2"/>
  <c r="F1" i="2"/>
  <c r="G1" i="2"/>
  <c r="H1" i="2"/>
  <c r="I1" i="2"/>
  <c r="J1" i="2"/>
  <c r="K1" i="2"/>
  <c r="L1" i="2"/>
  <c r="M1" i="2"/>
  <c r="B2" i="2"/>
  <c r="D2" i="2"/>
  <c r="E2" i="2"/>
  <c r="F2" i="2"/>
  <c r="B3" i="2"/>
  <c r="D3" i="2"/>
  <c r="E3" i="2"/>
  <c r="F3" i="2"/>
  <c r="B4" i="2"/>
  <c r="D4" i="2"/>
  <c r="E4" i="2"/>
  <c r="F4" i="2"/>
  <c r="B5" i="2"/>
  <c r="D5" i="2"/>
  <c r="E5" i="2"/>
  <c r="F5" i="2"/>
  <c r="B6" i="2"/>
  <c r="D6" i="2"/>
  <c r="F6" i="2"/>
  <c r="B7" i="2"/>
  <c r="D7" i="2"/>
  <c r="F7" i="2"/>
  <c r="B8" i="2"/>
  <c r="D8" i="2"/>
  <c r="E8" i="2"/>
  <c r="F8" i="2"/>
  <c r="B9" i="2"/>
  <c r="D9" i="2"/>
  <c r="F9" i="2"/>
  <c r="B10" i="2"/>
  <c r="D10" i="2"/>
  <c r="F10" i="2"/>
  <c r="B11" i="2"/>
  <c r="D11" i="2"/>
  <c r="F11" i="2"/>
  <c r="B12" i="2"/>
  <c r="D12" i="2"/>
  <c r="F12" i="2"/>
  <c r="B13" i="2"/>
  <c r="D13" i="2"/>
  <c r="F13" i="2"/>
  <c r="B14" i="2"/>
  <c r="D14" i="2"/>
  <c r="F14" i="2"/>
  <c r="B15" i="2"/>
  <c r="D15" i="2"/>
  <c r="F15" i="2"/>
  <c r="B16" i="2"/>
  <c r="D16" i="2"/>
  <c r="F16" i="2"/>
  <c r="B17" i="2"/>
  <c r="D17" i="2"/>
  <c r="F17" i="2"/>
  <c r="B18" i="2"/>
  <c r="D18" i="2"/>
  <c r="F18" i="2"/>
  <c r="B19" i="2"/>
  <c r="D19" i="2"/>
  <c r="E19" i="2"/>
  <c r="F19" i="2"/>
  <c r="B20" i="2"/>
  <c r="D20" i="2"/>
  <c r="E20" i="2"/>
  <c r="F20" i="2"/>
  <c r="B21" i="2"/>
  <c r="D21" i="2"/>
  <c r="F21" i="2"/>
  <c r="B22" i="2"/>
  <c r="D22" i="2"/>
  <c r="F22" i="2"/>
  <c r="B23" i="2"/>
  <c r="D23" i="2"/>
  <c r="F23" i="2"/>
  <c r="B24" i="2"/>
  <c r="D24" i="2"/>
  <c r="E24" i="2"/>
  <c r="F24" i="2"/>
  <c r="B25" i="2"/>
  <c r="D25" i="2"/>
  <c r="E25" i="2"/>
  <c r="F25" i="2"/>
  <c r="G25" i="2"/>
  <c r="H25" i="2"/>
  <c r="A1" i="1"/>
  <c r="B1" i="1"/>
  <c r="C1" i="1"/>
  <c r="D1" i="1"/>
  <c r="E1" i="1"/>
  <c r="F1" i="1"/>
  <c r="G1" i="1"/>
  <c r="H1" i="1"/>
  <c r="I1" i="1"/>
  <c r="J1" i="1"/>
  <c r="K1" i="1"/>
  <c r="L1" i="1"/>
  <c r="M1" i="1"/>
  <c r="B2" i="1"/>
  <c r="D2" i="1"/>
  <c r="E2" i="1"/>
  <c r="F2" i="1"/>
  <c r="B3" i="1"/>
  <c r="D3" i="1"/>
  <c r="E3" i="1"/>
  <c r="F3" i="1"/>
  <c r="B4" i="1"/>
  <c r="D4" i="1"/>
  <c r="E4" i="1"/>
  <c r="F4" i="1"/>
  <c r="B5" i="1"/>
  <c r="D5" i="1"/>
  <c r="F5" i="1"/>
  <c r="B6" i="1"/>
  <c r="D6" i="1"/>
  <c r="E6" i="1"/>
  <c r="F6" i="1"/>
  <c r="B7" i="1"/>
  <c r="D7" i="1"/>
  <c r="F7" i="1"/>
  <c r="B8" i="1"/>
  <c r="D8" i="1"/>
  <c r="E8" i="1"/>
  <c r="F8" i="1"/>
  <c r="B9" i="1"/>
  <c r="D9" i="1"/>
  <c r="F9" i="1"/>
  <c r="B10" i="1"/>
  <c r="D10" i="1"/>
  <c r="F10" i="1"/>
  <c r="B11" i="1"/>
  <c r="D11" i="1"/>
  <c r="E11" i="1"/>
  <c r="F11" i="1"/>
  <c r="B12" i="1"/>
  <c r="D12" i="1"/>
  <c r="E12" i="1"/>
  <c r="F12" i="1"/>
  <c r="B13" i="1"/>
  <c r="D13" i="1"/>
  <c r="E13" i="1"/>
  <c r="F13" i="1"/>
  <c r="B14" i="1"/>
  <c r="D14" i="1"/>
  <c r="F14" i="1"/>
  <c r="B15" i="1"/>
  <c r="D15" i="1"/>
  <c r="F15" i="1"/>
  <c r="B16" i="1"/>
  <c r="D16" i="1"/>
  <c r="F16" i="1"/>
  <c r="B17" i="1"/>
  <c r="D17" i="1"/>
  <c r="E17" i="1"/>
  <c r="F17" i="1"/>
  <c r="B18" i="1"/>
  <c r="D18" i="1"/>
  <c r="F18" i="1"/>
  <c r="B19" i="1"/>
  <c r="D19" i="1"/>
  <c r="E19" i="1"/>
  <c r="F19" i="1"/>
  <c r="B20" i="1"/>
  <c r="D20" i="1"/>
  <c r="F20" i="1"/>
  <c r="B21" i="1"/>
  <c r="D21" i="1"/>
  <c r="F21" i="1"/>
  <c r="B22" i="1"/>
  <c r="D22" i="1"/>
  <c r="F22" i="1"/>
  <c r="B23" i="1"/>
  <c r="D23" i="1"/>
  <c r="F23" i="1"/>
  <c r="B24" i="1"/>
  <c r="D24" i="1"/>
  <c r="F24" i="1"/>
  <c r="B25" i="1"/>
  <c r="D25" i="1"/>
  <c r="F25" i="1"/>
  <c r="B26" i="1"/>
  <c r="D26" i="1"/>
  <c r="F26" i="1"/>
  <c r="B27" i="1"/>
  <c r="D27" i="1"/>
  <c r="F27" i="1"/>
  <c r="B28" i="1"/>
  <c r="D28" i="1"/>
  <c r="F28" i="1"/>
  <c r="B29" i="1"/>
  <c r="D29" i="1"/>
  <c r="F29" i="1"/>
  <c r="B30" i="1"/>
  <c r="D30" i="1"/>
  <c r="E30" i="1"/>
  <c r="F30" i="1"/>
  <c r="B31" i="1"/>
  <c r="D31" i="1"/>
  <c r="F31" i="1"/>
  <c r="B32" i="1"/>
  <c r="D32" i="1"/>
  <c r="E32" i="1"/>
  <c r="F32" i="1"/>
  <c r="B33" i="1"/>
  <c r="D33" i="1"/>
  <c r="F33" i="1"/>
  <c r="B34" i="1"/>
  <c r="D34" i="1"/>
  <c r="F34" i="1"/>
  <c r="B35" i="1"/>
  <c r="D35" i="1"/>
  <c r="F35" i="1"/>
  <c r="B36" i="1"/>
  <c r="D36" i="1"/>
  <c r="E36" i="1"/>
  <c r="F36" i="1"/>
  <c r="B37" i="1"/>
  <c r="D37" i="1"/>
  <c r="E37" i="1"/>
  <c r="F37" i="1"/>
  <c r="G37" i="1"/>
  <c r="H37" i="1"/>
</calcChain>
</file>

<file path=xl/sharedStrings.xml><?xml version="1.0" encoding="utf-8"?>
<sst xmlns="http://schemas.openxmlformats.org/spreadsheetml/2006/main" count="44" uniqueCount="1">
  <si>
    <t>Hughes, Robert (25208165, 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</si>
</sst>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56FE-2489-4F30-AE5C-FEAE180B9BA0}">
  <dimension ref="A1:M37"/>
  <sheetViews>
    <sheetView tabSelected="1" zoomScale="85" zoomScaleNormal="85" workbookViewId="0"/>
  </sheetViews>
  <sheetFormatPr defaultRowHeight="15" x14ac:dyDescent="0.25"/>
  <cols>
    <col min="1" max="1" width="9.7109375" bestFit="1" customWidth="1"/>
    <col min="2" max="2" width="31.28515625" bestFit="1" customWidth="1"/>
    <col min="3" max="3" width="7" bestFit="1" customWidth="1"/>
    <col min="4" max="4" width="7.42578125" bestFit="1" customWidth="1"/>
    <col min="5" max="5" width="10.7109375" bestFit="1" customWidth="1"/>
    <col min="6" max="6" width="28.28515625" bestFit="1" customWidth="1"/>
    <col min="7" max="7" width="8.42578125" bestFit="1" customWidth="1"/>
    <col min="8" max="8" width="8.85546875" bestFit="1" customWidth="1"/>
    <col min="9" max="9" width="10.28515625" bestFit="1" customWidth="1"/>
    <col min="10" max="10" width="14.42578125" bestFit="1" customWidth="1"/>
    <col min="11" max="11" width="18.140625" bestFit="1" customWidth="1"/>
    <col min="12" max="12" width="11.7109375" bestFit="1" customWidth="1"/>
    <col min="13" max="13" width="12.140625" bestFit="1" customWidth="1"/>
  </cols>
  <sheetData>
    <row r="1" spans="1:13" x14ac:dyDescent="0.25">
      <c r="A1" t="str">
        <f>"As of Date"</f>
        <v>As of Date</v>
      </c>
      <c r="B1" t="str">
        <f>"Data For"</f>
        <v>Data For</v>
      </c>
      <c r="C1" t="str">
        <f>"Weight"</f>
        <v>Weight</v>
      </c>
      <c r="D1" t="str">
        <f>"Symbol"</f>
        <v>Symbol</v>
      </c>
      <c r="E1" t="str">
        <f>"CUSIP"</f>
        <v>CUSIP</v>
      </c>
      <c r="F1" t="str">
        <f>"Description"</f>
        <v>Description</v>
      </c>
      <c r="G1" t="str">
        <f>"Quantity"</f>
        <v>Quantity</v>
      </c>
      <c r="H1" t="str">
        <f>"Unit Cost"</f>
        <v>Unit Cost</v>
      </c>
      <c r="I1" t="str">
        <f>"Cost Basis"</f>
        <v>Cost Basis</v>
      </c>
      <c r="J1" t="str">
        <f>"Annual Income"</f>
        <v>Annual Income</v>
      </c>
      <c r="K1" t="str">
        <f>"Cumulative Income"</f>
        <v>Cumulative Income</v>
      </c>
      <c r="L1" t="str">
        <f>"Yield at Cost"</f>
        <v>Yield at Cost</v>
      </c>
      <c r="M1" t="str">
        <f>"Current Yield"</f>
        <v>Current Yield</v>
      </c>
    </row>
    <row r="2" spans="1:13" x14ac:dyDescent="0.25">
      <c r="A2" s="1">
        <v>46132</v>
      </c>
      <c r="B2" t="str">
        <f t="shared" ref="B2:B37" si="0">"*Quality Dividend Strategy (*QDG)"</f>
        <v>*Quality Dividend Strategy (*QDG)</v>
      </c>
      <c r="C2" s="2">
        <v>4.3400000000000001E-2</v>
      </c>
      <c r="D2" t="str">
        <f>"AMGN"</f>
        <v>AMGN</v>
      </c>
      <c r="E2" t="str">
        <f>"031162100"</f>
        <v>031162100</v>
      </c>
      <c r="F2" t="str">
        <f>"Amgen"</f>
        <v>Amgen</v>
      </c>
      <c r="G2">
        <v>269</v>
      </c>
      <c r="H2">
        <v>180.75</v>
      </c>
      <c r="I2" s="3">
        <v>48620.67</v>
      </c>
      <c r="J2" s="3">
        <v>2711.52</v>
      </c>
      <c r="K2" s="3">
        <v>13629.16</v>
      </c>
      <c r="L2" s="2">
        <v>5.5800000000000002E-2</v>
      </c>
      <c r="M2" s="2">
        <v>2.8799999999999999E-2</v>
      </c>
    </row>
    <row r="3" spans="1:13" x14ac:dyDescent="0.25">
      <c r="A3" s="1">
        <v>46132</v>
      </c>
      <c r="B3" t="str">
        <f t="shared" si="0"/>
        <v>*Quality Dividend Strategy (*QDG)</v>
      </c>
      <c r="C3" s="2">
        <v>4.02E-2</v>
      </c>
      <c r="D3" t="str">
        <f>"ASML"</f>
        <v>ASML</v>
      </c>
      <c r="E3" t="str">
        <f>"N07059210"</f>
        <v>N07059210</v>
      </c>
      <c r="F3" t="str">
        <f>"ASML Holding"</f>
        <v>ASML Holding</v>
      </c>
      <c r="G3">
        <v>59</v>
      </c>
      <c r="H3">
        <v>732.76</v>
      </c>
      <c r="I3" s="3">
        <v>43232.79</v>
      </c>
      <c r="J3">
        <v>441.03</v>
      </c>
      <c r="K3">
        <v>771.97</v>
      </c>
      <c r="L3" s="2">
        <v>1.0200000000000001E-2</v>
      </c>
      <c r="M3" s="2">
        <v>5.1000000000000004E-3</v>
      </c>
    </row>
    <row r="4" spans="1:13" x14ac:dyDescent="0.25">
      <c r="A4" s="1">
        <v>46132</v>
      </c>
      <c r="B4" t="str">
        <f t="shared" si="0"/>
        <v>*Quality Dividend Strategy (*QDG)</v>
      </c>
      <c r="C4" s="2">
        <v>3.6400000000000002E-2</v>
      </c>
      <c r="D4" t="str">
        <f>"BKH"</f>
        <v>BKH</v>
      </c>
      <c r="E4" t="str">
        <f>"092113109"</f>
        <v>092113109</v>
      </c>
      <c r="F4" t="str">
        <f>"Black Hills"</f>
        <v>Black Hills</v>
      </c>
      <c r="G4" s="3">
        <v>1045</v>
      </c>
      <c r="H4">
        <v>60.26</v>
      </c>
      <c r="I4" s="3">
        <v>62975.35</v>
      </c>
      <c r="J4" s="3">
        <v>2938.54</v>
      </c>
      <c r="K4" s="3">
        <v>4106.32</v>
      </c>
      <c r="L4" s="2">
        <v>4.6699999999999998E-2</v>
      </c>
      <c r="M4" s="2">
        <v>3.7199999999999997E-2</v>
      </c>
    </row>
    <row r="5" spans="1:13" x14ac:dyDescent="0.25">
      <c r="A5" s="1">
        <v>46132</v>
      </c>
      <c r="B5" t="str">
        <f t="shared" si="0"/>
        <v>*Quality Dividend Strategy (*QDG)</v>
      </c>
      <c r="C5" s="2">
        <v>3.6200000000000003E-2</v>
      </c>
      <c r="D5" t="str">
        <f>"CVX"</f>
        <v>CVX</v>
      </c>
      <c r="E5">
        <v>166764100</v>
      </c>
      <c r="F5" t="str">
        <f>"Chevron"</f>
        <v>Chevron</v>
      </c>
      <c r="G5">
        <v>429</v>
      </c>
      <c r="H5">
        <v>92.64</v>
      </c>
      <c r="I5" s="3">
        <v>39743.19</v>
      </c>
      <c r="J5" s="3">
        <v>3054.48</v>
      </c>
      <c r="K5" s="3">
        <v>25531.97</v>
      </c>
      <c r="L5" s="2">
        <v>7.6899999999999996E-2</v>
      </c>
      <c r="M5" s="2">
        <v>3.8899999999999997E-2</v>
      </c>
    </row>
    <row r="6" spans="1:13" x14ac:dyDescent="0.25">
      <c r="A6" s="1">
        <v>46132</v>
      </c>
      <c r="B6" t="str">
        <f t="shared" si="0"/>
        <v>*Quality Dividend Strategy (*QDG)</v>
      </c>
      <c r="C6" s="2">
        <v>3.4700000000000002E-2</v>
      </c>
      <c r="D6" t="str">
        <f>"CSCO"</f>
        <v>CSCO</v>
      </c>
      <c r="E6" t="str">
        <f>"17275R102"</f>
        <v>17275R102</v>
      </c>
      <c r="F6" t="str">
        <f>"Cisco Systems"</f>
        <v>Cisco Systems</v>
      </c>
      <c r="G6">
        <v>858</v>
      </c>
      <c r="H6">
        <v>18.03</v>
      </c>
      <c r="I6" s="3">
        <v>15468.72</v>
      </c>
      <c r="J6" s="3">
        <v>1441.44</v>
      </c>
      <c r="K6" s="3">
        <v>15358.74</v>
      </c>
      <c r="L6" s="2">
        <v>9.3200000000000005E-2</v>
      </c>
      <c r="M6" s="2">
        <v>1.9199999999999998E-2</v>
      </c>
    </row>
    <row r="7" spans="1:13" x14ac:dyDescent="0.25">
      <c r="A7" s="1">
        <v>46132</v>
      </c>
      <c r="B7" t="str">
        <f t="shared" si="0"/>
        <v>*Quality Dividend Strategy (*QDG)</v>
      </c>
      <c r="C7" s="2">
        <v>1.7600000000000001E-2</v>
      </c>
      <c r="D7" t="str">
        <f>"CLX"</f>
        <v>CLX</v>
      </c>
      <c r="E7">
        <v>189054109</v>
      </c>
      <c r="F7" t="str">
        <f>"Clorox"</f>
        <v>Clorox</v>
      </c>
      <c r="G7">
        <v>373</v>
      </c>
      <c r="H7">
        <v>97.35</v>
      </c>
      <c r="I7" s="3">
        <v>36311.550000000003</v>
      </c>
      <c r="J7" s="3">
        <v>1850.08</v>
      </c>
      <c r="K7">
        <v>462.52</v>
      </c>
      <c r="L7" s="2">
        <v>5.0999999999999997E-2</v>
      </c>
      <c r="M7" s="2">
        <v>4.8500000000000001E-2</v>
      </c>
    </row>
    <row r="8" spans="1:13" x14ac:dyDescent="0.25">
      <c r="A8" s="1">
        <v>46132</v>
      </c>
      <c r="B8" t="str">
        <f t="shared" si="0"/>
        <v>*Quality Dividend Strategy (*QDG)</v>
      </c>
      <c r="C8" s="2">
        <v>3.49E-2</v>
      </c>
      <c r="D8" t="str">
        <f>"CME"</f>
        <v>CME</v>
      </c>
      <c r="E8" t="str">
        <f>"12572Q105"</f>
        <v>12572Q105</v>
      </c>
      <c r="F8" t="str">
        <f>"CME Group"</f>
        <v>CME Group</v>
      </c>
      <c r="G8">
        <v>263</v>
      </c>
      <c r="H8">
        <v>203.65</v>
      </c>
      <c r="I8" s="3">
        <v>53558.94</v>
      </c>
      <c r="J8" s="3">
        <v>2945.6</v>
      </c>
      <c r="K8" s="3">
        <v>5329.9</v>
      </c>
      <c r="L8" s="2">
        <v>5.5E-2</v>
      </c>
      <c r="M8" s="2">
        <v>3.9E-2</v>
      </c>
    </row>
    <row r="9" spans="1:13" x14ac:dyDescent="0.25">
      <c r="A9" s="1">
        <v>46132</v>
      </c>
      <c r="B9" t="str">
        <f t="shared" si="0"/>
        <v>*Quality Dividend Strategy (*QDG)</v>
      </c>
      <c r="C9" s="2">
        <v>2.1499999999999998E-2</v>
      </c>
      <c r="D9" t="str">
        <f>"KOF"</f>
        <v>KOF</v>
      </c>
      <c r="E9">
        <v>191241108</v>
      </c>
      <c r="F9" t="str">
        <f>"Coca-Cola Femsa"</f>
        <v>Coca-Cola Femsa</v>
      </c>
      <c r="G9">
        <v>457</v>
      </c>
      <c r="H9">
        <v>47.09</v>
      </c>
      <c r="I9" s="3">
        <v>21519.25</v>
      </c>
      <c r="J9" s="3">
        <v>1667.99</v>
      </c>
      <c r="K9" s="3">
        <v>8345.58</v>
      </c>
      <c r="L9" s="2">
        <v>7.7499999999999999E-2</v>
      </c>
      <c r="M9" s="2">
        <v>3.5700000000000003E-2</v>
      </c>
    </row>
    <row r="10" spans="1:13" x14ac:dyDescent="0.25">
      <c r="A10" s="1">
        <v>46132</v>
      </c>
      <c r="B10" t="str">
        <f t="shared" si="0"/>
        <v>*Quality Dividend Strategy (*QDG)</v>
      </c>
      <c r="C10" s="2">
        <v>3.7400000000000003E-2</v>
      </c>
      <c r="D10" t="str">
        <f>"CFR"</f>
        <v>CFR</v>
      </c>
      <c r="E10">
        <v>229899109</v>
      </c>
      <c r="F10" t="str">
        <f>"Cullen/Frost Bankers"</f>
        <v>Cullen/Frost Bankers</v>
      </c>
      <c r="G10">
        <v>561</v>
      </c>
      <c r="H10">
        <v>79.069999999999993</v>
      </c>
      <c r="I10" s="3">
        <v>44360.79</v>
      </c>
      <c r="J10" s="3">
        <v>2244</v>
      </c>
      <c r="K10" s="3">
        <v>8068.01</v>
      </c>
      <c r="L10" s="2">
        <v>5.0599999999999999E-2</v>
      </c>
      <c r="M10" s="2">
        <v>2.7699999999999999E-2</v>
      </c>
    </row>
    <row r="11" spans="1:13" x14ac:dyDescent="0.25">
      <c r="A11" s="1">
        <v>46132</v>
      </c>
      <c r="B11" t="str">
        <f t="shared" si="0"/>
        <v>*Quality Dividend Strategy (*QDG)</v>
      </c>
      <c r="C11" s="2">
        <v>2.4199999999999999E-2</v>
      </c>
      <c r="D11" t="str">
        <f>"DVN"</f>
        <v>DVN</v>
      </c>
      <c r="E11" t="str">
        <f>"25179M103"</f>
        <v>25179M103</v>
      </c>
      <c r="F11" t="str">
        <f>"Devon Energy"</f>
        <v>Devon Energy</v>
      </c>
      <c r="G11" s="3">
        <v>1170</v>
      </c>
      <c r="H11">
        <v>41.25</v>
      </c>
      <c r="I11" s="3">
        <v>48261.72</v>
      </c>
      <c r="J11" s="3">
        <v>1123.2</v>
      </c>
      <c r="K11" s="3">
        <v>2556.09</v>
      </c>
      <c r="L11" s="2">
        <v>2.3300000000000001E-2</v>
      </c>
      <c r="M11" s="2">
        <v>2.1399999999999999E-2</v>
      </c>
    </row>
    <row r="12" spans="1:13" x14ac:dyDescent="0.25">
      <c r="A12" s="1">
        <v>46132</v>
      </c>
      <c r="B12" t="str">
        <f t="shared" si="0"/>
        <v>*Quality Dividend Strategy (*QDG)</v>
      </c>
      <c r="C12" s="2">
        <v>1.9400000000000001E-2</v>
      </c>
      <c r="D12" t="str">
        <f>"ETR"</f>
        <v>ETR</v>
      </c>
      <c r="E12" t="str">
        <f>"29364G103"</f>
        <v>29364G103</v>
      </c>
      <c r="F12" t="str">
        <f>"Entergy"</f>
        <v>Entergy</v>
      </c>
      <c r="G12">
        <v>371</v>
      </c>
      <c r="H12">
        <v>45.01</v>
      </c>
      <c r="I12" s="3">
        <v>16697.12</v>
      </c>
      <c r="J12">
        <v>949.76</v>
      </c>
      <c r="K12" s="3">
        <v>5552.1</v>
      </c>
      <c r="L12" s="2">
        <v>5.6899999999999999E-2</v>
      </c>
      <c r="M12" s="2">
        <v>2.2499999999999999E-2</v>
      </c>
    </row>
    <row r="13" spans="1:13" x14ac:dyDescent="0.25">
      <c r="A13" s="1">
        <v>46132</v>
      </c>
      <c r="B13" t="str">
        <f t="shared" si="0"/>
        <v>*Quality Dividend Strategy (*QDG)</v>
      </c>
      <c r="C13" s="2">
        <v>3.2199999999999999E-2</v>
      </c>
      <c r="D13" t="str">
        <f>"XOM"</f>
        <v>XOM</v>
      </c>
      <c r="E13" t="str">
        <f>"30231G102"</f>
        <v>30231G102</v>
      </c>
      <c r="F13" t="str">
        <f>"Exxon Mobil"</f>
        <v>Exxon Mobil</v>
      </c>
      <c r="G13">
        <v>473</v>
      </c>
      <c r="H13">
        <v>39.4</v>
      </c>
      <c r="I13" s="3">
        <v>18636.310000000001</v>
      </c>
      <c r="J13" s="3">
        <v>1948.76</v>
      </c>
      <c r="K13" s="3">
        <v>16274.78</v>
      </c>
      <c r="L13" s="2">
        <v>0.1046</v>
      </c>
      <c r="M13" s="2">
        <v>2.7900000000000001E-2</v>
      </c>
    </row>
    <row r="14" spans="1:13" x14ac:dyDescent="0.25">
      <c r="A14" s="1">
        <v>46132</v>
      </c>
      <c r="B14" t="str">
        <f t="shared" si="0"/>
        <v>*Quality Dividend Strategy (*QDG)</v>
      </c>
      <c r="C14" s="2">
        <v>2.9899999999999999E-2</v>
      </c>
      <c r="D14" t="str">
        <f>"GD"</f>
        <v>GD</v>
      </c>
      <c r="E14">
        <v>369550108</v>
      </c>
      <c r="F14" t="str">
        <f>"General Dynamics"</f>
        <v>General Dynamics</v>
      </c>
      <c r="G14">
        <v>195</v>
      </c>
      <c r="H14">
        <v>176.46</v>
      </c>
      <c r="I14" s="3">
        <v>34408.94</v>
      </c>
      <c r="J14" s="3">
        <v>1240.2</v>
      </c>
      <c r="K14" s="3">
        <v>5946.34</v>
      </c>
      <c r="L14" s="2">
        <v>3.5999999999999997E-2</v>
      </c>
      <c r="M14" s="2">
        <v>1.9099999999999999E-2</v>
      </c>
    </row>
    <row r="15" spans="1:13" x14ac:dyDescent="0.25">
      <c r="A15" s="1">
        <v>46132</v>
      </c>
      <c r="B15" t="str">
        <f t="shared" si="0"/>
        <v>*Quality Dividend Strategy (*QDG)</v>
      </c>
      <c r="C15" s="2">
        <v>1.41E-2</v>
      </c>
      <c r="D15" t="str">
        <f>"HD"</f>
        <v>HD</v>
      </c>
      <c r="E15">
        <v>437076102</v>
      </c>
      <c r="F15" t="str">
        <f>"Home Depot"</f>
        <v>Home Depot</v>
      </c>
      <c r="G15">
        <v>87</v>
      </c>
      <c r="H15">
        <v>302.10000000000002</v>
      </c>
      <c r="I15" s="3">
        <v>26282.34</v>
      </c>
      <c r="J15">
        <v>810.84</v>
      </c>
      <c r="K15" s="3">
        <v>2558.65</v>
      </c>
      <c r="L15" s="2">
        <v>3.09E-2</v>
      </c>
      <c r="M15" s="2">
        <v>2.6599999999999999E-2</v>
      </c>
    </row>
    <row r="16" spans="1:13" x14ac:dyDescent="0.25">
      <c r="A16" s="1">
        <v>46132</v>
      </c>
      <c r="B16" t="str">
        <f t="shared" si="0"/>
        <v>*Quality Dividend Strategy (*QDG)</v>
      </c>
      <c r="C16" s="2">
        <v>3.4799999999999998E-2</v>
      </c>
      <c r="D16" t="str">
        <f>"JNJ"</f>
        <v>JNJ</v>
      </c>
      <c r="E16">
        <v>478160104</v>
      </c>
      <c r="F16" t="str">
        <f>"Johnson &amp; Johnson"</f>
        <v>Johnson &amp; Johnson</v>
      </c>
      <c r="G16">
        <v>327</v>
      </c>
      <c r="H16">
        <v>65.91</v>
      </c>
      <c r="I16" s="3">
        <v>21552.95</v>
      </c>
      <c r="J16" s="3">
        <v>1752.72</v>
      </c>
      <c r="K16" s="3">
        <v>19299.759999999998</v>
      </c>
      <c r="L16" s="2">
        <v>8.1299999999999997E-2</v>
      </c>
      <c r="M16" s="2">
        <v>2.3199999999999998E-2</v>
      </c>
    </row>
    <row r="17" spans="1:13" x14ac:dyDescent="0.25">
      <c r="A17" s="1">
        <v>46132</v>
      </c>
      <c r="B17" t="str">
        <f t="shared" si="0"/>
        <v>*Quality Dividend Strategy (*QDG)</v>
      </c>
      <c r="C17" s="2">
        <v>2.7300000000000001E-2</v>
      </c>
      <c r="D17" t="str">
        <f>"JPM"</f>
        <v>JPM</v>
      </c>
      <c r="E17" t="str">
        <f>"46625H100"</f>
        <v>46625H100</v>
      </c>
      <c r="F17" t="str">
        <f>"JPMorgan Chase"</f>
        <v>JPMorgan Chase</v>
      </c>
      <c r="G17">
        <v>187</v>
      </c>
      <c r="H17">
        <v>105.38</v>
      </c>
      <c r="I17" s="3">
        <v>19706.57</v>
      </c>
      <c r="J17" s="3">
        <v>1122</v>
      </c>
      <c r="K17" s="3">
        <v>11408.72</v>
      </c>
      <c r="L17" s="2">
        <v>5.6899999999999999E-2</v>
      </c>
      <c r="M17" s="2">
        <v>1.89E-2</v>
      </c>
    </row>
    <row r="18" spans="1:13" x14ac:dyDescent="0.25">
      <c r="A18" s="1">
        <v>46132</v>
      </c>
      <c r="B18" t="str">
        <f t="shared" si="0"/>
        <v>*Quality Dividend Strategy (*QDG)</v>
      </c>
      <c r="C18" s="2">
        <v>1.2699999999999999E-2</v>
      </c>
      <c r="D18" t="str">
        <f>"MKC"</f>
        <v>MKC</v>
      </c>
      <c r="E18">
        <v>579780206</v>
      </c>
      <c r="F18" t="str">
        <f>"McCormick &amp; Co."</f>
        <v>McCormick &amp; Co.</v>
      </c>
      <c r="G18">
        <v>522</v>
      </c>
      <c r="H18">
        <v>67.069999999999993</v>
      </c>
      <c r="I18" s="3">
        <v>35012.61</v>
      </c>
      <c r="J18" s="3">
        <v>1002.24</v>
      </c>
      <c r="K18">
        <v>252.48</v>
      </c>
      <c r="L18" s="2">
        <v>2.86E-2</v>
      </c>
      <c r="M18" s="2">
        <v>3.6299999999999999E-2</v>
      </c>
    </row>
    <row r="19" spans="1:13" x14ac:dyDescent="0.25">
      <c r="A19" s="1">
        <v>46132</v>
      </c>
      <c r="B19" t="str">
        <f t="shared" si="0"/>
        <v>*Quality Dividend Strategy (*QDG)</v>
      </c>
      <c r="C19" s="2">
        <v>2.18E-2</v>
      </c>
      <c r="D19" t="str">
        <f>"MDT"</f>
        <v>MDT</v>
      </c>
      <c r="E19" t="str">
        <f>"G5960L103"</f>
        <v>G5960L103</v>
      </c>
      <c r="F19" t="str">
        <f>"Medtronic"</f>
        <v>Medtronic</v>
      </c>
      <c r="G19">
        <v>555</v>
      </c>
      <c r="H19">
        <v>93.69</v>
      </c>
      <c r="I19" s="3">
        <v>52000.25</v>
      </c>
      <c r="J19" s="3">
        <v>1576.2</v>
      </c>
      <c r="K19" s="3">
        <v>6887.63</v>
      </c>
      <c r="L19" s="2">
        <v>3.0300000000000001E-2</v>
      </c>
      <c r="M19" s="2">
        <v>3.3399999999999999E-2</v>
      </c>
    </row>
    <row r="20" spans="1:13" x14ac:dyDescent="0.25">
      <c r="A20" s="1">
        <v>46132</v>
      </c>
      <c r="B20" t="str">
        <f t="shared" si="0"/>
        <v>*Quality Dividend Strategy (*QDG)</v>
      </c>
      <c r="C20" s="2">
        <v>2.6599999999999999E-2</v>
      </c>
      <c r="D20" t="str">
        <f>"MSFT"</f>
        <v>MSFT</v>
      </c>
      <c r="E20">
        <v>594918104</v>
      </c>
      <c r="F20" t="str">
        <f>"Microsoft"</f>
        <v>Microsoft</v>
      </c>
      <c r="G20">
        <v>138</v>
      </c>
      <c r="H20">
        <v>25.35</v>
      </c>
      <c r="I20" s="3">
        <v>3498.3</v>
      </c>
      <c r="J20">
        <v>502.32</v>
      </c>
      <c r="K20" s="3">
        <v>9334.14</v>
      </c>
      <c r="L20" s="2">
        <v>0.14360000000000001</v>
      </c>
      <c r="M20" s="2">
        <v>8.6999999999999994E-3</v>
      </c>
    </row>
    <row r="21" spans="1:13" x14ac:dyDescent="0.25">
      <c r="A21" s="1">
        <v>46132</v>
      </c>
      <c r="B21" t="str">
        <f t="shared" si="0"/>
        <v>*Quality Dividend Strategy (*QDG)</v>
      </c>
      <c r="C21" s="2">
        <v>1.23E-2</v>
      </c>
      <c r="D21" t="str">
        <f>"NKE"</f>
        <v>NKE</v>
      </c>
      <c r="E21">
        <v>654106103</v>
      </c>
      <c r="F21" t="str">
        <f>"Nike"</f>
        <v>Nike</v>
      </c>
      <c r="G21">
        <v>575</v>
      </c>
      <c r="H21">
        <v>75.36</v>
      </c>
      <c r="I21" s="3">
        <v>43330.55</v>
      </c>
      <c r="J21">
        <v>943</v>
      </c>
      <c r="K21" s="3">
        <v>1085.9000000000001</v>
      </c>
      <c r="L21" s="2">
        <v>2.18E-2</v>
      </c>
      <c r="M21" s="2">
        <v>3.5299999999999998E-2</v>
      </c>
    </row>
    <row r="22" spans="1:13" x14ac:dyDescent="0.25">
      <c r="A22" s="1">
        <v>46132</v>
      </c>
      <c r="B22" t="str">
        <f t="shared" si="0"/>
        <v>*Quality Dividend Strategy (*QDG)</v>
      </c>
      <c r="C22" s="2">
        <v>2.0299999999999999E-2</v>
      </c>
      <c r="D22" t="str">
        <f>"NVO"</f>
        <v>NVO</v>
      </c>
      <c r="E22">
        <v>670100205</v>
      </c>
      <c r="F22" t="str">
        <f>"Novo Nordisk"</f>
        <v>Novo Nordisk</v>
      </c>
      <c r="G22" s="3">
        <v>1087</v>
      </c>
      <c r="H22">
        <v>76.02</v>
      </c>
      <c r="I22" s="3">
        <v>82634.83</v>
      </c>
      <c r="J22" s="3">
        <v>1397.05</v>
      </c>
      <c r="K22" s="3">
        <v>2739.96</v>
      </c>
      <c r="L22" s="2">
        <v>1.6899999999999998E-2</v>
      </c>
      <c r="M22" s="2">
        <v>3.1800000000000002E-2</v>
      </c>
    </row>
    <row r="23" spans="1:13" x14ac:dyDescent="0.25">
      <c r="A23" s="1">
        <v>46132</v>
      </c>
      <c r="B23" t="str">
        <f t="shared" si="0"/>
        <v>*Quality Dividend Strategy (*QDG)</v>
      </c>
      <c r="C23" s="2">
        <v>2.4E-2</v>
      </c>
      <c r="D23" t="str">
        <f>"PEP"</f>
        <v>PEP</v>
      </c>
      <c r="E23">
        <v>713448108</v>
      </c>
      <c r="F23" t="str">
        <f>"Pepsi"</f>
        <v>Pepsi</v>
      </c>
      <c r="G23">
        <v>331</v>
      </c>
      <c r="H23">
        <v>123.9</v>
      </c>
      <c r="I23" s="3">
        <v>41010.42</v>
      </c>
      <c r="J23" s="3">
        <v>1883.39</v>
      </c>
      <c r="K23" s="3">
        <v>6584.49</v>
      </c>
      <c r="L23" s="2">
        <v>4.5900000000000003E-2</v>
      </c>
      <c r="M23" s="2">
        <v>3.6200000000000003E-2</v>
      </c>
    </row>
    <row r="24" spans="1:13" x14ac:dyDescent="0.25">
      <c r="A24" s="1">
        <v>46132</v>
      </c>
      <c r="B24" t="str">
        <f t="shared" si="0"/>
        <v>*Quality Dividend Strategy (*QDG)</v>
      </c>
      <c r="C24" s="2">
        <v>1.9099999999999999E-2</v>
      </c>
      <c r="D24" t="str">
        <f>"PFE"</f>
        <v>PFE</v>
      </c>
      <c r="E24">
        <v>717081103</v>
      </c>
      <c r="F24" t="str">
        <f>"Pfizer"</f>
        <v>Pfizer</v>
      </c>
      <c r="G24" s="3">
        <v>1504</v>
      </c>
      <c r="H24">
        <v>28.44</v>
      </c>
      <c r="I24" s="3">
        <v>42768.72</v>
      </c>
      <c r="J24" s="3">
        <v>2586.88</v>
      </c>
      <c r="K24" s="3">
        <v>23941.32</v>
      </c>
      <c r="L24" s="2">
        <v>6.0499999999999998E-2</v>
      </c>
      <c r="M24" s="2">
        <v>6.25E-2</v>
      </c>
    </row>
    <row r="25" spans="1:13" x14ac:dyDescent="0.25">
      <c r="A25" s="1">
        <v>46132</v>
      </c>
      <c r="B25" t="str">
        <f t="shared" si="0"/>
        <v>*Quality Dividend Strategy (*QDG)</v>
      </c>
      <c r="C25" s="2">
        <v>2.1600000000000001E-2</v>
      </c>
      <c r="D25" t="str">
        <f>"PSX"</f>
        <v>PSX</v>
      </c>
      <c r="E25">
        <v>718546104</v>
      </c>
      <c r="F25" t="str">
        <f>"Phillips 66"</f>
        <v>Phillips 66</v>
      </c>
      <c r="G25">
        <v>301</v>
      </c>
      <c r="H25">
        <v>93.14</v>
      </c>
      <c r="I25" s="3">
        <v>28033.69</v>
      </c>
      <c r="J25" s="3">
        <v>1529.08</v>
      </c>
      <c r="K25" s="3">
        <v>5014.66</v>
      </c>
      <c r="L25" s="2">
        <v>5.45E-2</v>
      </c>
      <c r="M25" s="2">
        <v>3.2599999999999997E-2</v>
      </c>
    </row>
    <row r="26" spans="1:13" x14ac:dyDescent="0.25">
      <c r="A26" s="1">
        <v>46132</v>
      </c>
      <c r="B26" t="str">
        <f t="shared" si="0"/>
        <v>*Quality Dividend Strategy (*QDG)</v>
      </c>
      <c r="C26" s="2">
        <v>2.2100000000000002E-2</v>
      </c>
      <c r="D26" t="str">
        <f>"POR"</f>
        <v>POR</v>
      </c>
      <c r="E26">
        <v>736508847</v>
      </c>
      <c r="F26" t="str">
        <f>"Portland General Electric Co"</f>
        <v>Portland General Electric Co</v>
      </c>
      <c r="G26">
        <v>938</v>
      </c>
      <c r="H26">
        <v>41.4</v>
      </c>
      <c r="I26" s="3">
        <v>38829.83</v>
      </c>
      <c r="J26" s="3">
        <v>1969.8</v>
      </c>
      <c r="K26" s="3">
        <v>1477.37</v>
      </c>
      <c r="L26" s="2">
        <v>5.0700000000000002E-2</v>
      </c>
      <c r="M26" s="2">
        <v>4.1000000000000002E-2</v>
      </c>
    </row>
    <row r="27" spans="1:13" x14ac:dyDescent="0.25">
      <c r="A27" s="1">
        <v>46132</v>
      </c>
      <c r="B27" t="str">
        <f t="shared" si="0"/>
        <v>*Quality Dividend Strategy (*QDG)</v>
      </c>
      <c r="C27" s="2">
        <v>2.9100000000000001E-2</v>
      </c>
      <c r="D27" t="str">
        <f>"PG"</f>
        <v>PG</v>
      </c>
      <c r="E27">
        <v>742718109</v>
      </c>
      <c r="F27" t="str">
        <f>"Procter &amp; Gamble"</f>
        <v>Procter &amp; Gamble</v>
      </c>
      <c r="G27">
        <v>437</v>
      </c>
      <c r="H27">
        <v>101.06</v>
      </c>
      <c r="I27" s="3">
        <v>44161.29</v>
      </c>
      <c r="J27" s="3">
        <v>1902.7</v>
      </c>
      <c r="K27" s="3">
        <v>9571.89</v>
      </c>
      <c r="L27" s="2">
        <v>4.3099999999999999E-2</v>
      </c>
      <c r="M27" s="2">
        <v>3.0099999999999998E-2</v>
      </c>
    </row>
    <row r="28" spans="1:13" x14ac:dyDescent="0.25">
      <c r="A28" s="1">
        <v>46132</v>
      </c>
      <c r="B28" t="str">
        <f t="shared" si="0"/>
        <v>*Quality Dividend Strategy (*QDG)</v>
      </c>
      <c r="C28" s="2">
        <v>2.5899999999999999E-2</v>
      </c>
      <c r="D28" t="str">
        <f>"O"</f>
        <v>O</v>
      </c>
      <c r="E28">
        <v>756109104</v>
      </c>
      <c r="F28" t="str">
        <f>"Realty Income"</f>
        <v>Realty Income</v>
      </c>
      <c r="G28">
        <v>864</v>
      </c>
      <c r="H28">
        <v>55.5</v>
      </c>
      <c r="I28" s="3">
        <v>47950.87</v>
      </c>
      <c r="J28" s="3">
        <v>2804.54</v>
      </c>
      <c r="K28" s="3">
        <v>5428.62</v>
      </c>
      <c r="L28" s="2">
        <v>5.8500000000000003E-2</v>
      </c>
      <c r="M28" s="2">
        <v>0.05</v>
      </c>
    </row>
    <row r="29" spans="1:13" x14ac:dyDescent="0.25">
      <c r="A29" s="1">
        <v>46132</v>
      </c>
      <c r="B29" t="str">
        <f t="shared" si="0"/>
        <v>*Quality Dividend Strategy (*QDG)</v>
      </c>
      <c r="C29" s="2">
        <v>2.1100000000000001E-2</v>
      </c>
      <c r="D29" t="str">
        <f>"RGA"</f>
        <v>RGA</v>
      </c>
      <c r="E29">
        <v>759351604</v>
      </c>
      <c r="F29" t="str">
        <f>"Reinsurance Group of America"</f>
        <v>Reinsurance Group of America</v>
      </c>
      <c r="G29">
        <v>216</v>
      </c>
      <c r="H29">
        <v>221.67</v>
      </c>
      <c r="I29" s="3">
        <v>47880.800000000003</v>
      </c>
      <c r="J29">
        <v>803.52</v>
      </c>
      <c r="K29" s="3">
        <v>1133.97</v>
      </c>
      <c r="L29" s="2">
        <v>1.6799999999999999E-2</v>
      </c>
      <c r="M29" s="2">
        <v>1.7500000000000002E-2</v>
      </c>
    </row>
    <row r="30" spans="1:13" x14ac:dyDescent="0.25">
      <c r="A30" s="1">
        <v>46132</v>
      </c>
      <c r="B30" t="str">
        <f t="shared" si="0"/>
        <v>*Quality Dividend Strategy (*QDG)</v>
      </c>
      <c r="C30" s="2">
        <v>1.9300000000000001E-2</v>
      </c>
      <c r="D30" t="str">
        <f>"TROW"</f>
        <v>TROW</v>
      </c>
      <c r="E30" t="str">
        <f>"74144T108"</f>
        <v>74144T108</v>
      </c>
      <c r="F30" t="str">
        <f>"T. Rowe Price"</f>
        <v>T. Rowe Price</v>
      </c>
      <c r="G30">
        <v>426</v>
      </c>
      <c r="H30">
        <v>111.82</v>
      </c>
      <c r="I30" s="3">
        <v>47635.040000000001</v>
      </c>
      <c r="J30" s="3">
        <v>2215.1999999999998</v>
      </c>
      <c r="K30" s="3">
        <v>6605.94</v>
      </c>
      <c r="L30" s="2">
        <v>4.65E-2</v>
      </c>
      <c r="M30" s="2">
        <v>5.2999999999999999E-2</v>
      </c>
    </row>
    <row r="31" spans="1:13" x14ac:dyDescent="0.25">
      <c r="A31" s="1">
        <v>46132</v>
      </c>
      <c r="B31" t="str">
        <f t="shared" si="0"/>
        <v>*Quality Dividend Strategy (*QDG)</v>
      </c>
      <c r="C31" s="2">
        <v>3.2199999999999999E-2</v>
      </c>
      <c r="D31" t="str">
        <f>"TXN"</f>
        <v>TXN</v>
      </c>
      <c r="E31">
        <v>882508104</v>
      </c>
      <c r="F31" t="str">
        <f>"Texas Instruments"</f>
        <v>Texas Instruments</v>
      </c>
      <c r="G31">
        <v>299</v>
      </c>
      <c r="H31">
        <v>50.62</v>
      </c>
      <c r="I31" s="3">
        <v>15136.68</v>
      </c>
      <c r="J31" s="3">
        <v>1698.32</v>
      </c>
      <c r="K31" s="3">
        <v>13958.55</v>
      </c>
      <c r="L31" s="2">
        <v>0.11219999999999999</v>
      </c>
      <c r="M31" s="2">
        <v>2.4299999999999999E-2</v>
      </c>
    </row>
    <row r="32" spans="1:13" x14ac:dyDescent="0.25">
      <c r="A32" s="1">
        <v>46132</v>
      </c>
      <c r="B32" t="str">
        <f t="shared" si="0"/>
        <v>*Quality Dividend Strategy (*QDG)</v>
      </c>
      <c r="C32" s="2">
        <v>2.24E-2</v>
      </c>
      <c r="D32" t="str">
        <f>"TTE"</f>
        <v>TTE</v>
      </c>
      <c r="E32" t="str">
        <f>"F92124100"</f>
        <v>F92124100</v>
      </c>
      <c r="F32" t="str">
        <f>"Total SA"</f>
        <v>Total SA</v>
      </c>
      <c r="G32">
        <v>556</v>
      </c>
      <c r="H32">
        <v>49.15</v>
      </c>
      <c r="I32" s="3">
        <v>27327.39</v>
      </c>
      <c r="J32">
        <v>3260</v>
      </c>
      <c r="K32" s="3">
        <v>9119.24</v>
      </c>
      <c r="L32" s="2">
        <v>8.1299999999999997E-2</v>
      </c>
      <c r="M32" s="2">
        <v>4.4699999999999997E-2</v>
      </c>
    </row>
    <row r="33" spans="1:13" x14ac:dyDescent="0.25">
      <c r="A33" s="1">
        <v>46132</v>
      </c>
      <c r="B33" t="str">
        <f t="shared" si="0"/>
        <v>*Quality Dividend Strategy (*QDG)</v>
      </c>
      <c r="C33" s="2">
        <v>2.4E-2</v>
      </c>
      <c r="D33" t="str">
        <f>"UL"</f>
        <v>UL</v>
      </c>
      <c r="E33">
        <v>904767803</v>
      </c>
      <c r="F33" t="str">
        <f>"Unilever PLC"</f>
        <v>Unilever PLC</v>
      </c>
      <c r="G33">
        <v>898</v>
      </c>
      <c r="H33">
        <v>58.12</v>
      </c>
      <c r="I33" s="3">
        <v>52191.45</v>
      </c>
      <c r="J33" s="3">
        <v>2062.9499999999998</v>
      </c>
      <c r="K33" s="3">
        <v>12125.94</v>
      </c>
      <c r="L33" s="2">
        <v>3.95E-2</v>
      </c>
      <c r="M33" s="2">
        <v>3.9600000000000003E-2</v>
      </c>
    </row>
    <row r="34" spans="1:13" x14ac:dyDescent="0.25">
      <c r="A34" s="1">
        <v>46132</v>
      </c>
      <c r="B34" t="str">
        <f t="shared" si="0"/>
        <v>*Quality Dividend Strategy (*QDG)</v>
      </c>
      <c r="C34" s="2">
        <v>2.4799999999999999E-2</v>
      </c>
      <c r="D34" t="str">
        <f>"UNP"</f>
        <v>UNP</v>
      </c>
      <c r="E34">
        <v>907818108</v>
      </c>
      <c r="F34" t="str">
        <f>"Union Pacific"</f>
        <v>Union Pacific</v>
      </c>
      <c r="G34">
        <v>213</v>
      </c>
      <c r="H34">
        <v>211.24</v>
      </c>
      <c r="I34" s="3">
        <v>44993.19</v>
      </c>
      <c r="J34" s="3">
        <v>1175.76</v>
      </c>
      <c r="K34" s="3">
        <v>2557.98</v>
      </c>
      <c r="L34" s="2">
        <v>2.6100000000000002E-2</v>
      </c>
      <c r="M34" s="2">
        <v>2.1899999999999999E-2</v>
      </c>
    </row>
    <row r="35" spans="1:13" x14ac:dyDescent="0.25">
      <c r="A35" s="1">
        <v>46132</v>
      </c>
      <c r="B35" t="str">
        <f t="shared" si="0"/>
        <v>*Quality Dividend Strategy (*QDG)</v>
      </c>
      <c r="C35" s="2">
        <v>0.02</v>
      </c>
      <c r="D35" t="str">
        <f>"UPS"</f>
        <v>UPS</v>
      </c>
      <c r="E35">
        <v>911312106</v>
      </c>
      <c r="F35" t="str">
        <f>"United Parcel Service"</f>
        <v>United Parcel Service</v>
      </c>
      <c r="G35">
        <v>405</v>
      </c>
      <c r="H35">
        <v>103.25</v>
      </c>
      <c r="I35" s="3">
        <v>41815.78</v>
      </c>
      <c r="J35" s="3">
        <v>2656.8</v>
      </c>
      <c r="K35" s="3">
        <v>11949.1</v>
      </c>
      <c r="L35" s="2">
        <v>6.3500000000000001E-2</v>
      </c>
      <c r="M35" s="2">
        <v>6.1199999999999997E-2</v>
      </c>
    </row>
    <row r="36" spans="1:13" x14ac:dyDescent="0.25">
      <c r="A36" s="1">
        <v>46132</v>
      </c>
      <c r="B36" t="str">
        <f t="shared" si="0"/>
        <v>*Quality Dividend Strategy (*QDG)</v>
      </c>
      <c r="C36" s="2">
        <v>1.9699999999999999E-2</v>
      </c>
      <c r="D36" t="str">
        <f>"VZ"</f>
        <v>VZ</v>
      </c>
      <c r="E36" t="str">
        <f>"92343V104"</f>
        <v>92343V104</v>
      </c>
      <c r="F36" t="str">
        <f>"Verizon"</f>
        <v>Verizon</v>
      </c>
      <c r="G36">
        <v>920</v>
      </c>
      <c r="H36">
        <v>46.89</v>
      </c>
      <c r="I36" s="3">
        <v>43136.03</v>
      </c>
      <c r="J36" s="3">
        <v>2603.6</v>
      </c>
      <c r="K36" s="3">
        <v>24861.360000000001</v>
      </c>
      <c r="L36" s="2">
        <v>6.0400000000000002E-2</v>
      </c>
      <c r="M36" s="2">
        <v>6.0900000000000003E-2</v>
      </c>
    </row>
    <row r="37" spans="1:13" x14ac:dyDescent="0.25">
      <c r="A37" s="1">
        <v>46132</v>
      </c>
      <c r="B37" t="str">
        <f t="shared" si="0"/>
        <v>*Quality Dividend Strategy (*QDG)</v>
      </c>
      <c r="C37" s="2">
        <v>9.6799999999999997E-2</v>
      </c>
      <c r="D37" t="str">
        <f>"CASH"</f>
        <v>CASH</v>
      </c>
      <c r="E37" t="str">
        <f>""</f>
        <v/>
      </c>
      <c r="F37" t="str">
        <f>"Cash"</f>
        <v>Cash</v>
      </c>
      <c r="G37" t="str">
        <f>""</f>
        <v/>
      </c>
      <c r="H37" t="str">
        <f>""</f>
        <v/>
      </c>
      <c r="I37" s="3">
        <v>209925.66</v>
      </c>
      <c r="J37" s="3">
        <v>2099.2600000000002</v>
      </c>
      <c r="K37">
        <v>0</v>
      </c>
      <c r="L37" s="2">
        <v>0.01</v>
      </c>
      <c r="M37" s="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168B-B2FC-48E2-960B-20DC95A0F606}">
  <dimension ref="A1:M25"/>
  <sheetViews>
    <sheetView zoomScale="85" zoomScaleNormal="85" workbookViewId="0"/>
  </sheetViews>
  <sheetFormatPr defaultRowHeight="15" x14ac:dyDescent="0.25"/>
  <cols>
    <col min="1" max="1" width="9.7109375" bestFit="1" customWidth="1"/>
    <col min="2" max="2" width="36.7109375" bestFit="1" customWidth="1"/>
    <col min="3" max="3" width="7.140625" bestFit="1" customWidth="1"/>
    <col min="4" max="4" width="7.42578125" bestFit="1" customWidth="1"/>
    <col min="5" max="5" width="10.7109375" bestFit="1" customWidth="1"/>
    <col min="6" max="6" width="28.28515625" bestFit="1" customWidth="1"/>
    <col min="7" max="7" width="8.42578125" bestFit="1" customWidth="1"/>
    <col min="8" max="8" width="8.85546875" bestFit="1" customWidth="1"/>
    <col min="9" max="9" width="10.28515625" bestFit="1" customWidth="1"/>
    <col min="10" max="10" width="14.42578125" bestFit="1" customWidth="1"/>
    <col min="11" max="11" width="18.140625" bestFit="1" customWidth="1"/>
    <col min="12" max="12" width="11.7109375" bestFit="1" customWidth="1"/>
    <col min="13" max="13" width="12.140625" bestFit="1" customWidth="1"/>
  </cols>
  <sheetData>
    <row r="1" spans="1:13" x14ac:dyDescent="0.25">
      <c r="A1" t="str">
        <f>"As of Date"</f>
        <v>As of Date</v>
      </c>
      <c r="B1" t="str">
        <f>"Data For"</f>
        <v>Data For</v>
      </c>
      <c r="C1" t="str">
        <f>"Weight"</f>
        <v>Weight</v>
      </c>
      <c r="D1" t="str">
        <f>"Symbol"</f>
        <v>Symbol</v>
      </c>
      <c r="E1" t="str">
        <f>"CUSIP"</f>
        <v>CUSIP</v>
      </c>
      <c r="F1" t="str">
        <f>"Description"</f>
        <v>Description</v>
      </c>
      <c r="G1" t="str">
        <f>"Quantity"</f>
        <v>Quantity</v>
      </c>
      <c r="H1" t="str">
        <f>"Unit Cost"</f>
        <v>Unit Cost</v>
      </c>
      <c r="I1" t="str">
        <f>"Cost Basis"</f>
        <v>Cost Basis</v>
      </c>
      <c r="J1" t="str">
        <f>"Annual Income"</f>
        <v>Annual Income</v>
      </c>
      <c r="K1" t="str">
        <f>"Cumulative Income"</f>
        <v>Cumulative Income</v>
      </c>
      <c r="L1" t="str">
        <f>"Yield at Cost"</f>
        <v>Yield at Cost</v>
      </c>
      <c r="M1" t="str">
        <f>"Current Yield"</f>
        <v>Current Yield</v>
      </c>
    </row>
    <row r="2" spans="1:13" x14ac:dyDescent="0.25">
      <c r="A2" s="1">
        <v>46132</v>
      </c>
      <c r="B2" t="str">
        <f t="shared" ref="B2:B25" si="0">"*Quality SMID Dividend Strategy (*SMID)"</f>
        <v>*Quality SMID Dividend Strategy (*SMID)</v>
      </c>
      <c r="C2" s="2">
        <v>3.7100000000000001E-2</v>
      </c>
      <c r="D2" t="str">
        <f>"ALSN"</f>
        <v>ALSN</v>
      </c>
      <c r="E2" t="str">
        <f>"01973R101"</f>
        <v>01973R101</v>
      </c>
      <c r="F2" t="str">
        <f>"Allison Transmission"</f>
        <v>Allison Transmission</v>
      </c>
      <c r="G2">
        <v>710</v>
      </c>
      <c r="H2">
        <v>36.18</v>
      </c>
      <c r="I2" s="3">
        <v>25687.78</v>
      </c>
      <c r="J2">
        <v>823.6</v>
      </c>
      <c r="K2" s="3">
        <v>4034.19</v>
      </c>
      <c r="L2" s="2">
        <v>3.2099999999999997E-2</v>
      </c>
      <c r="M2" s="2">
        <v>8.8999999999999999E-3</v>
      </c>
    </row>
    <row r="3" spans="1:13" x14ac:dyDescent="0.25">
      <c r="A3" s="1">
        <v>46132</v>
      </c>
      <c r="B3" t="str">
        <f t="shared" si="0"/>
        <v>*Quality SMID Dividend Strategy (*SMID)</v>
      </c>
      <c r="C3" s="2">
        <v>5.4300000000000001E-2</v>
      </c>
      <c r="D3" t="str">
        <f>"BKH"</f>
        <v>BKH</v>
      </c>
      <c r="E3" t="str">
        <f>"092113109"</f>
        <v>092113109</v>
      </c>
      <c r="F3" t="str">
        <f>"Black Hills"</f>
        <v>Black Hills</v>
      </c>
      <c r="G3" s="3">
        <v>1781</v>
      </c>
      <c r="H3">
        <v>60.76</v>
      </c>
      <c r="I3" s="3">
        <v>108214.14</v>
      </c>
      <c r="J3" s="3">
        <v>5008.17</v>
      </c>
      <c r="K3" s="3">
        <v>12772.25</v>
      </c>
      <c r="L3" s="2">
        <v>4.6300000000000001E-2</v>
      </c>
      <c r="M3" s="2">
        <v>3.7199999999999997E-2</v>
      </c>
    </row>
    <row r="4" spans="1:13" x14ac:dyDescent="0.25">
      <c r="A4" s="1">
        <v>46132</v>
      </c>
      <c r="B4" t="str">
        <f t="shared" si="0"/>
        <v>*Quality SMID Dividend Strategy (*SMID)</v>
      </c>
      <c r="C4" s="2">
        <v>3.8399999999999997E-2</v>
      </c>
      <c r="D4" t="str">
        <f>"COR"</f>
        <v>COR</v>
      </c>
      <c r="E4" t="str">
        <f>"03073E105"</f>
        <v>03073E105</v>
      </c>
      <c r="F4" t="str">
        <f>"Cencora"</f>
        <v>Cencora</v>
      </c>
      <c r="G4">
        <v>295</v>
      </c>
      <c r="H4">
        <v>77.72</v>
      </c>
      <c r="I4" s="3">
        <v>22926.42</v>
      </c>
      <c r="J4">
        <v>708</v>
      </c>
      <c r="K4" s="3">
        <v>1747.9</v>
      </c>
      <c r="L4" s="2">
        <v>3.09E-2</v>
      </c>
      <c r="M4" s="2">
        <v>7.4000000000000003E-3</v>
      </c>
    </row>
    <row r="5" spans="1:13" x14ac:dyDescent="0.25">
      <c r="A5" s="1">
        <v>46132</v>
      </c>
      <c r="B5" t="str">
        <f t="shared" si="0"/>
        <v>*Quality SMID Dividend Strategy (*SMID)</v>
      </c>
      <c r="C5" s="2">
        <v>2.8199999999999999E-2</v>
      </c>
      <c r="D5" t="str">
        <f>"CNP"</f>
        <v>CNP</v>
      </c>
      <c r="E5" t="str">
        <f>"15189T107"</f>
        <v>15189T107</v>
      </c>
      <c r="F5" t="str">
        <f>"CenterPoint Energy"</f>
        <v>CenterPoint Energy</v>
      </c>
      <c r="G5" s="3">
        <v>1641</v>
      </c>
      <c r="H5">
        <v>23.71</v>
      </c>
      <c r="I5" s="3">
        <v>38909.379999999997</v>
      </c>
      <c r="J5" s="3">
        <v>1509.72</v>
      </c>
      <c r="K5" s="3">
        <v>17183.099999999999</v>
      </c>
      <c r="L5" s="2">
        <v>3.8800000000000001E-2</v>
      </c>
      <c r="M5" s="2">
        <v>2.1499999999999998E-2</v>
      </c>
    </row>
    <row r="6" spans="1:13" x14ac:dyDescent="0.25">
      <c r="A6" s="1">
        <v>46132</v>
      </c>
      <c r="B6" t="str">
        <f t="shared" si="0"/>
        <v>*Quality SMID Dividend Strategy (*SMID)</v>
      </c>
      <c r="C6" s="2">
        <v>4.4600000000000001E-2</v>
      </c>
      <c r="D6" t="str">
        <f>"CLX"</f>
        <v>CLX</v>
      </c>
      <c r="E6">
        <v>189054109</v>
      </c>
      <c r="F6" t="str">
        <f>"Clorox"</f>
        <v>Clorox</v>
      </c>
      <c r="G6" s="3">
        <v>1082</v>
      </c>
      <c r="H6">
        <v>121.06</v>
      </c>
      <c r="I6" s="3">
        <v>130985.47</v>
      </c>
      <c r="J6" s="3">
        <v>5366.72</v>
      </c>
      <c r="K6" s="3">
        <v>18192.2</v>
      </c>
      <c r="L6" s="2">
        <v>4.1000000000000002E-2</v>
      </c>
      <c r="M6" s="2">
        <v>4.8500000000000001E-2</v>
      </c>
    </row>
    <row r="7" spans="1:13" x14ac:dyDescent="0.25">
      <c r="A7" s="1">
        <v>46132</v>
      </c>
      <c r="B7" t="str">
        <f t="shared" si="0"/>
        <v>*Quality SMID Dividend Strategy (*SMID)</v>
      </c>
      <c r="C7" s="2">
        <v>5.6500000000000002E-2</v>
      </c>
      <c r="D7" t="str">
        <f>"CFR"</f>
        <v>CFR</v>
      </c>
      <c r="E7">
        <v>229899109</v>
      </c>
      <c r="F7" t="str">
        <f>"Cullen/Frost Bankers"</f>
        <v>Cullen/Frost Bankers</v>
      </c>
      <c r="G7">
        <v>971</v>
      </c>
      <c r="H7">
        <v>66.38</v>
      </c>
      <c r="I7" s="3">
        <v>64458.14</v>
      </c>
      <c r="J7" s="3">
        <v>3884</v>
      </c>
      <c r="K7" s="3">
        <v>22461.68</v>
      </c>
      <c r="L7" s="2">
        <v>6.0299999999999999E-2</v>
      </c>
      <c r="M7" s="2">
        <v>2.7699999999999999E-2</v>
      </c>
    </row>
    <row r="8" spans="1:13" x14ac:dyDescent="0.25">
      <c r="A8" s="1">
        <v>46132</v>
      </c>
      <c r="B8" t="str">
        <f t="shared" si="0"/>
        <v>*Quality SMID Dividend Strategy (*SMID)</v>
      </c>
      <c r="C8" s="2">
        <v>5.4399999999999997E-2</v>
      </c>
      <c r="D8" t="str">
        <f>"DVN"</f>
        <v>DVN</v>
      </c>
      <c r="E8" t="str">
        <f>"25179M103"</f>
        <v>25179M103</v>
      </c>
      <c r="F8" t="str">
        <f>"Devon Energy"</f>
        <v>Devon Energy</v>
      </c>
      <c r="G8" s="3">
        <v>3004</v>
      </c>
      <c r="H8">
        <v>34.770000000000003</v>
      </c>
      <c r="I8" s="3">
        <v>104446.15</v>
      </c>
      <c r="J8" s="3">
        <v>2883.84</v>
      </c>
      <c r="K8" s="3">
        <v>3263.04</v>
      </c>
      <c r="L8" s="2">
        <v>2.76E-2</v>
      </c>
      <c r="M8" s="2">
        <v>2.1399999999999999E-2</v>
      </c>
    </row>
    <row r="9" spans="1:13" x14ac:dyDescent="0.25">
      <c r="A9" s="1">
        <v>46132</v>
      </c>
      <c r="B9" t="str">
        <f t="shared" si="0"/>
        <v>*Quality SMID Dividend Strategy (*SMID)</v>
      </c>
      <c r="C9" s="2">
        <v>3.5000000000000003E-2</v>
      </c>
      <c r="D9" t="str">
        <f>"EMN"</f>
        <v>EMN</v>
      </c>
      <c r="E9">
        <v>277432100</v>
      </c>
      <c r="F9" t="str">
        <f>"Eastman Chemical"</f>
        <v>Eastman Chemical</v>
      </c>
      <c r="G9" s="3">
        <v>1179</v>
      </c>
      <c r="H9">
        <v>76.84</v>
      </c>
      <c r="I9" s="3">
        <v>90593.87</v>
      </c>
      <c r="J9" s="3">
        <v>3961.44</v>
      </c>
      <c r="K9" s="3">
        <v>20178.150000000001</v>
      </c>
      <c r="L9" s="2">
        <v>4.3700000000000003E-2</v>
      </c>
      <c r="M9" s="2">
        <v>4.5600000000000002E-2</v>
      </c>
    </row>
    <row r="10" spans="1:13" x14ac:dyDescent="0.25">
      <c r="A10" s="1">
        <v>46132</v>
      </c>
      <c r="B10" t="str">
        <f t="shared" si="0"/>
        <v>*Quality SMID Dividend Strategy (*SMID)</v>
      </c>
      <c r="C10" s="2">
        <v>2.7099999999999999E-2</v>
      </c>
      <c r="D10" t="str">
        <f>"HRL"</f>
        <v>HRL</v>
      </c>
      <c r="E10">
        <v>440452100</v>
      </c>
      <c r="F10" t="str">
        <f>"Hormel Foods"</f>
        <v>Hormel Foods</v>
      </c>
      <c r="G10" s="3">
        <v>3150</v>
      </c>
      <c r="H10">
        <v>31.72</v>
      </c>
      <c r="I10" s="3">
        <v>99926.73</v>
      </c>
      <c r="J10" s="3">
        <v>3685.5</v>
      </c>
      <c r="K10" s="3">
        <v>7600.39</v>
      </c>
      <c r="L10" s="2">
        <v>3.6900000000000002E-2</v>
      </c>
      <c r="M10" s="2">
        <v>5.4899999999999997E-2</v>
      </c>
    </row>
    <row r="11" spans="1:13" x14ac:dyDescent="0.25">
      <c r="A11" s="1">
        <v>46132</v>
      </c>
      <c r="B11" t="str">
        <f t="shared" si="0"/>
        <v>*Quality SMID Dividend Strategy (*SMID)</v>
      </c>
      <c r="C11" s="2">
        <v>2.3099999999999999E-2</v>
      </c>
      <c r="D11" t="str">
        <f>"HII"</f>
        <v>HII</v>
      </c>
      <c r="E11">
        <v>446413106</v>
      </c>
      <c r="F11" t="str">
        <f>"Huntington Ingalls"</f>
        <v>Huntington Ingalls</v>
      </c>
      <c r="G11">
        <v>146</v>
      </c>
      <c r="H11">
        <v>193.64</v>
      </c>
      <c r="I11" s="3">
        <v>28271.119999999999</v>
      </c>
      <c r="J11">
        <v>805.92</v>
      </c>
      <c r="K11" s="3">
        <v>10212.959999999999</v>
      </c>
      <c r="L11" s="2">
        <v>2.8500000000000001E-2</v>
      </c>
      <c r="M11" s="2">
        <v>1.41E-2</v>
      </c>
    </row>
    <row r="12" spans="1:13" x14ac:dyDescent="0.25">
      <c r="A12" s="1">
        <v>46132</v>
      </c>
      <c r="B12" t="str">
        <f t="shared" si="0"/>
        <v>*Quality SMID Dividend Strategy (*SMID)</v>
      </c>
      <c r="C12" s="2">
        <v>2.7E-2</v>
      </c>
      <c r="D12" t="str">
        <f>"INGR"</f>
        <v>INGR</v>
      </c>
      <c r="E12">
        <v>457187102</v>
      </c>
      <c r="F12" t="str">
        <f>"Ingredion"</f>
        <v>Ingredion</v>
      </c>
      <c r="G12">
        <v>586</v>
      </c>
      <c r="H12">
        <v>80.53</v>
      </c>
      <c r="I12" s="3">
        <v>47192.12</v>
      </c>
      <c r="J12" s="3">
        <v>1922.08</v>
      </c>
      <c r="K12" s="3">
        <v>10460.1</v>
      </c>
      <c r="L12" s="2">
        <v>4.07E-2</v>
      </c>
      <c r="M12" s="2">
        <v>2.87E-2</v>
      </c>
    </row>
    <row r="13" spans="1:13" x14ac:dyDescent="0.25">
      <c r="A13" s="1">
        <v>46132</v>
      </c>
      <c r="B13" t="str">
        <f t="shared" si="0"/>
        <v>*Quality SMID Dividend Strategy (*SMID)</v>
      </c>
      <c r="C13" s="2">
        <v>4.36E-2</v>
      </c>
      <c r="D13" t="str">
        <f>"JKHY"</f>
        <v>JKHY</v>
      </c>
      <c r="E13">
        <v>426281101</v>
      </c>
      <c r="F13" t="str">
        <f>"Jack Henry &amp; Associates"</f>
        <v>Jack Henry &amp; Associates</v>
      </c>
      <c r="G13">
        <v>703</v>
      </c>
      <c r="H13">
        <v>152.54</v>
      </c>
      <c r="I13" s="3">
        <v>107238.36</v>
      </c>
      <c r="J13" s="3">
        <v>1715.32</v>
      </c>
      <c r="K13" s="3">
        <v>5602.67</v>
      </c>
      <c r="L13" s="2">
        <v>1.6E-2</v>
      </c>
      <c r="M13" s="2">
        <v>1.5900000000000001E-2</v>
      </c>
    </row>
    <row r="14" spans="1:13" x14ac:dyDescent="0.25">
      <c r="A14" s="1">
        <v>46132</v>
      </c>
      <c r="B14" t="str">
        <f t="shared" si="0"/>
        <v>*Quality SMID Dividend Strategy (*SMID)</v>
      </c>
      <c r="C14" s="2">
        <v>3.4200000000000001E-2</v>
      </c>
      <c r="D14" t="str">
        <f>"LECO"</f>
        <v>LECO</v>
      </c>
      <c r="E14">
        <v>533900106</v>
      </c>
      <c r="F14" t="str">
        <f>"Lincoln Electric"</f>
        <v>Lincoln Electric</v>
      </c>
      <c r="G14">
        <v>327</v>
      </c>
      <c r="H14">
        <v>63.35</v>
      </c>
      <c r="I14" s="3">
        <v>20713.86</v>
      </c>
      <c r="J14" s="3">
        <v>1033.32</v>
      </c>
      <c r="K14" s="3">
        <v>8582.0300000000007</v>
      </c>
      <c r="L14" s="2">
        <v>4.99E-2</v>
      </c>
      <c r="M14" s="2">
        <v>1.2200000000000001E-2</v>
      </c>
    </row>
    <row r="15" spans="1:13" x14ac:dyDescent="0.25">
      <c r="A15" s="1">
        <v>46132</v>
      </c>
      <c r="B15" t="str">
        <f t="shared" si="0"/>
        <v>*Quality SMID Dividend Strategy (*SMID)</v>
      </c>
      <c r="C15" s="2">
        <v>4.3499999999999997E-2</v>
      </c>
      <c r="D15" t="str">
        <f>"MKC"</f>
        <v>MKC</v>
      </c>
      <c r="E15">
        <v>579780206</v>
      </c>
      <c r="F15" t="str">
        <f>"McCormick &amp; Co."</f>
        <v>McCormick &amp; Co.</v>
      </c>
      <c r="G15" s="3">
        <v>2042</v>
      </c>
      <c r="H15">
        <v>64.02</v>
      </c>
      <c r="I15" s="3">
        <v>130719.09</v>
      </c>
      <c r="J15" s="3">
        <v>3920.64</v>
      </c>
      <c r="K15">
        <v>664.8</v>
      </c>
      <c r="L15" s="2">
        <v>0.03</v>
      </c>
      <c r="M15" s="2">
        <v>3.6299999999999999E-2</v>
      </c>
    </row>
    <row r="16" spans="1:13" x14ac:dyDescent="0.25">
      <c r="A16" s="1">
        <v>46132</v>
      </c>
      <c r="B16" t="str">
        <f t="shared" si="0"/>
        <v>*Quality SMID Dividend Strategy (*SMID)</v>
      </c>
      <c r="C16" s="2">
        <v>4.3700000000000003E-2</v>
      </c>
      <c r="D16" t="str">
        <f>"MSM"</f>
        <v>MSM</v>
      </c>
      <c r="E16">
        <v>553530106</v>
      </c>
      <c r="F16" t="str">
        <f>"MSC Industrial"</f>
        <v>MSC Industrial</v>
      </c>
      <c r="G16" s="3">
        <v>1117</v>
      </c>
      <c r="H16">
        <v>79.989999999999995</v>
      </c>
      <c r="I16" s="3">
        <v>89345.88</v>
      </c>
      <c r="J16" s="3">
        <v>3887.16</v>
      </c>
      <c r="K16" s="3">
        <v>27077</v>
      </c>
      <c r="L16" s="2">
        <v>4.3499999999999997E-2</v>
      </c>
      <c r="M16" s="2">
        <v>3.5799999999999998E-2</v>
      </c>
    </row>
    <row r="17" spans="1:13" x14ac:dyDescent="0.25">
      <c r="A17" s="1">
        <v>46132</v>
      </c>
      <c r="B17" t="str">
        <f t="shared" si="0"/>
        <v>*Quality SMID Dividend Strategy (*SMID)</v>
      </c>
      <c r="C17" s="2">
        <v>3.2899999999999999E-2</v>
      </c>
      <c r="D17" t="str">
        <f>"PAYX"</f>
        <v>PAYX</v>
      </c>
      <c r="E17">
        <v>704326107</v>
      </c>
      <c r="F17" t="str">
        <f>"Paychex"</f>
        <v>Paychex</v>
      </c>
      <c r="G17">
        <v>878</v>
      </c>
      <c r="H17">
        <v>82.19</v>
      </c>
      <c r="I17" s="3">
        <v>72165.61</v>
      </c>
      <c r="J17" s="3">
        <v>3792.96</v>
      </c>
      <c r="K17" s="3">
        <v>21701.08</v>
      </c>
      <c r="L17" s="2">
        <v>5.2600000000000001E-2</v>
      </c>
      <c r="M17" s="2">
        <v>4.6399999999999997E-2</v>
      </c>
    </row>
    <row r="18" spans="1:13" x14ac:dyDescent="0.25">
      <c r="A18" s="1">
        <v>46132</v>
      </c>
      <c r="B18" t="str">
        <f t="shared" si="0"/>
        <v>*Quality SMID Dividend Strategy (*SMID)</v>
      </c>
      <c r="C18" s="2">
        <v>3.7100000000000001E-2</v>
      </c>
      <c r="D18" t="str">
        <f>"POR"</f>
        <v>POR</v>
      </c>
      <c r="E18">
        <v>736508847</v>
      </c>
      <c r="F18" t="str">
        <f>"Portland General Electric Co"</f>
        <v>Portland General Electric Co</v>
      </c>
      <c r="G18" s="3">
        <v>1798</v>
      </c>
      <c r="H18">
        <v>40.909999999999997</v>
      </c>
      <c r="I18" s="3">
        <v>73558.899999999994</v>
      </c>
      <c r="J18" s="3">
        <v>3775.8</v>
      </c>
      <c r="K18" s="3">
        <v>2831.89</v>
      </c>
      <c r="L18" s="2">
        <v>5.1299999999999998E-2</v>
      </c>
      <c r="M18" s="2">
        <v>4.1000000000000002E-2</v>
      </c>
    </row>
    <row r="19" spans="1:13" x14ac:dyDescent="0.25">
      <c r="A19" s="1">
        <v>46132</v>
      </c>
      <c r="B19" t="str">
        <f t="shared" si="0"/>
        <v>*Quality SMID Dividend Strategy (*SMID)</v>
      </c>
      <c r="C19" s="2">
        <v>3.1199999999999999E-2</v>
      </c>
      <c r="D19" t="str">
        <f>"PFG"</f>
        <v>PFG</v>
      </c>
      <c r="E19" t="str">
        <f>"74251V102"</f>
        <v>74251V102</v>
      </c>
      <c r="F19" t="str">
        <f>"Principal Financial"</f>
        <v>Principal Financial</v>
      </c>
      <c r="G19">
        <v>804</v>
      </c>
      <c r="H19">
        <v>49.4</v>
      </c>
      <c r="I19" s="3">
        <v>39713.660000000003</v>
      </c>
      <c r="J19" s="3">
        <v>2572.8000000000002</v>
      </c>
      <c r="K19" s="3">
        <v>23592.74</v>
      </c>
      <c r="L19" s="2">
        <v>6.4799999999999996E-2</v>
      </c>
      <c r="M19" s="2">
        <v>3.3300000000000003E-2</v>
      </c>
    </row>
    <row r="20" spans="1:13" x14ac:dyDescent="0.25">
      <c r="A20" s="1">
        <v>46132</v>
      </c>
      <c r="B20" t="str">
        <f t="shared" si="0"/>
        <v>*Quality SMID Dividend Strategy (*SMID)</v>
      </c>
      <c r="C20" s="2">
        <v>4.3999999999999997E-2</v>
      </c>
      <c r="D20" t="str">
        <f>"DGX"</f>
        <v>DGX</v>
      </c>
      <c r="E20" t="str">
        <f>"74834L100"</f>
        <v>74834L100</v>
      </c>
      <c r="F20" t="str">
        <f>"Quest Diagnostics"</f>
        <v>Quest Diagnostics</v>
      </c>
      <c r="G20">
        <v>556</v>
      </c>
      <c r="H20">
        <v>74.45</v>
      </c>
      <c r="I20" s="3">
        <v>41396.480000000003</v>
      </c>
      <c r="J20" s="3">
        <v>1912.64</v>
      </c>
      <c r="K20" s="3">
        <v>13995.76</v>
      </c>
      <c r="L20" s="2">
        <v>4.6199999999999998E-2</v>
      </c>
      <c r="M20" s="2">
        <v>1.7500000000000002E-2</v>
      </c>
    </row>
    <row r="21" spans="1:13" x14ac:dyDescent="0.25">
      <c r="A21" s="1">
        <v>46132</v>
      </c>
      <c r="B21" t="str">
        <f t="shared" si="0"/>
        <v>*Quality SMID Dividend Strategy (*SMID)</v>
      </c>
      <c r="C21" s="2">
        <v>3.85E-2</v>
      </c>
      <c r="D21" t="str">
        <f>"RGA"</f>
        <v>RGA</v>
      </c>
      <c r="E21">
        <v>759351604</v>
      </c>
      <c r="F21" t="str">
        <f>"Reinsurance Group of America"</f>
        <v>Reinsurance Group of America</v>
      </c>
      <c r="G21">
        <v>450</v>
      </c>
      <c r="H21">
        <v>215.27</v>
      </c>
      <c r="I21" s="3">
        <v>96873.09</v>
      </c>
      <c r="J21" s="3">
        <v>1674</v>
      </c>
      <c r="K21" s="3">
        <v>2345.75</v>
      </c>
      <c r="L21" s="2">
        <v>1.7299999999999999E-2</v>
      </c>
      <c r="M21" s="2">
        <v>1.7500000000000002E-2</v>
      </c>
    </row>
    <row r="22" spans="1:13" x14ac:dyDescent="0.25">
      <c r="A22" s="1">
        <v>46132</v>
      </c>
      <c r="B22" t="str">
        <f t="shared" si="0"/>
        <v>*Quality SMID Dividend Strategy (*SMID)</v>
      </c>
      <c r="C22" s="2">
        <v>3.3500000000000002E-2</v>
      </c>
      <c r="D22" t="str">
        <f>"SNA"</f>
        <v>SNA</v>
      </c>
      <c r="E22">
        <v>833034101</v>
      </c>
      <c r="F22" t="str">
        <f>"Snap-On"</f>
        <v>Snap-On</v>
      </c>
      <c r="G22">
        <v>215</v>
      </c>
      <c r="H22">
        <v>151.1</v>
      </c>
      <c r="I22" s="3">
        <v>32486.27</v>
      </c>
      <c r="J22" s="3">
        <v>2098.4</v>
      </c>
      <c r="K22" s="3">
        <v>11725.62</v>
      </c>
      <c r="L22" s="2">
        <v>6.4600000000000005E-2</v>
      </c>
      <c r="M22" s="2">
        <v>2.52E-2</v>
      </c>
    </row>
    <row r="23" spans="1:13" x14ac:dyDescent="0.25">
      <c r="A23" s="1">
        <v>46132</v>
      </c>
      <c r="B23" t="str">
        <f t="shared" si="0"/>
        <v>*Quality SMID Dividend Strategy (*SMID)</v>
      </c>
      <c r="C23" s="2">
        <v>2.76E-2</v>
      </c>
      <c r="D23" t="str">
        <f>"SWK"</f>
        <v>SWK</v>
      </c>
      <c r="E23">
        <v>854502101</v>
      </c>
      <c r="F23" t="str">
        <f>"Stanley Black &amp; Decker"</f>
        <v>Stanley Black &amp; Decker</v>
      </c>
      <c r="G23">
        <v>910</v>
      </c>
      <c r="H23">
        <v>84.37</v>
      </c>
      <c r="I23" s="3">
        <v>76777.919999999998</v>
      </c>
      <c r="J23" s="3">
        <v>3021.2</v>
      </c>
      <c r="K23" s="3">
        <v>5274.85</v>
      </c>
      <c r="L23" s="2">
        <v>3.9300000000000002E-2</v>
      </c>
      <c r="M23" s="2">
        <v>4.4200000000000003E-2</v>
      </c>
    </row>
    <row r="24" spans="1:13" x14ac:dyDescent="0.25">
      <c r="A24" s="1">
        <v>46132</v>
      </c>
      <c r="B24" t="str">
        <f t="shared" si="0"/>
        <v>*Quality SMID Dividend Strategy (*SMID)</v>
      </c>
      <c r="C24" s="2">
        <v>2.9899999999999999E-2</v>
      </c>
      <c r="D24" t="str">
        <f>"TROW"</f>
        <v>TROW</v>
      </c>
      <c r="E24" t="str">
        <f>"74144T108"</f>
        <v>74144T108</v>
      </c>
      <c r="F24" t="str">
        <f>"T. Rowe Price"</f>
        <v>T. Rowe Price</v>
      </c>
      <c r="G24">
        <v>756</v>
      </c>
      <c r="H24">
        <v>106.27</v>
      </c>
      <c r="I24" s="3">
        <v>80343.740000000005</v>
      </c>
      <c r="J24" s="3">
        <v>3931.2</v>
      </c>
      <c r="K24" s="3">
        <v>3700.6</v>
      </c>
      <c r="L24" s="2">
        <v>4.8899999999999999E-2</v>
      </c>
      <c r="M24" s="2">
        <v>5.2999999999999999E-2</v>
      </c>
    </row>
    <row r="25" spans="1:13" x14ac:dyDescent="0.25">
      <c r="A25" s="1">
        <v>46132</v>
      </c>
      <c r="B25" t="str">
        <f t="shared" si="0"/>
        <v>*Quality SMID Dividend Strategy (*SMID)</v>
      </c>
      <c r="C25" s="2">
        <v>0.1346</v>
      </c>
      <c r="D25" t="str">
        <f>"CASH"</f>
        <v>CASH</v>
      </c>
      <c r="E25" t="str">
        <f>""</f>
        <v/>
      </c>
      <c r="F25" t="str">
        <f>"Cash"</f>
        <v>Cash</v>
      </c>
      <c r="G25" t="str">
        <f>""</f>
        <v/>
      </c>
      <c r="H25" t="str">
        <f>""</f>
        <v/>
      </c>
      <c r="I25" s="3">
        <v>333937.11</v>
      </c>
      <c r="J25" s="3">
        <v>3339.37</v>
      </c>
      <c r="K25">
        <v>0</v>
      </c>
      <c r="L25" s="2">
        <v>0.01</v>
      </c>
      <c r="M25" s="2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BFFC-22D8-45D9-98DF-F8C6F3C18F0F}">
  <dimension ref="A1:M47"/>
  <sheetViews>
    <sheetView zoomScale="85" zoomScaleNormal="85" workbookViewId="0"/>
  </sheetViews>
  <sheetFormatPr defaultRowHeight="15" x14ac:dyDescent="0.25"/>
  <cols>
    <col min="1" max="1" width="9.7109375" bestFit="1" customWidth="1"/>
    <col min="2" max="2" width="38" bestFit="1" customWidth="1"/>
    <col min="3" max="3" width="7.140625" bestFit="1" customWidth="1"/>
    <col min="4" max="4" width="7.42578125" bestFit="1" customWidth="1"/>
    <col min="5" max="5" width="10.7109375" bestFit="1" customWidth="1"/>
    <col min="6" max="6" width="28.28515625" bestFit="1" customWidth="1"/>
    <col min="7" max="7" width="8.42578125" bestFit="1" customWidth="1"/>
    <col min="8" max="8" width="8.85546875" bestFit="1" customWidth="1"/>
    <col min="9" max="9" width="10.28515625" bestFit="1" customWidth="1"/>
    <col min="10" max="10" width="14.42578125" bestFit="1" customWidth="1"/>
    <col min="11" max="11" width="18.140625" bestFit="1" customWidth="1"/>
    <col min="12" max="12" width="11.7109375" bestFit="1" customWidth="1"/>
    <col min="13" max="13" width="12.140625" bestFit="1" customWidth="1"/>
  </cols>
  <sheetData>
    <row r="1" spans="1:13" x14ac:dyDescent="0.25">
      <c r="A1" t="str">
        <f>"As of Date"</f>
        <v>As of Date</v>
      </c>
      <c r="B1" t="str">
        <f>"Data For"</f>
        <v>Data For</v>
      </c>
      <c r="C1" t="str">
        <f>"Weight"</f>
        <v>Weight</v>
      </c>
      <c r="D1" t="str">
        <f>"Symbol"</f>
        <v>Symbol</v>
      </c>
      <c r="E1" t="str">
        <f>"CUSIP"</f>
        <v>CUSIP</v>
      </c>
      <c r="F1" t="str">
        <f>"Description"</f>
        <v>Description</v>
      </c>
      <c r="G1" t="str">
        <f>"Quantity"</f>
        <v>Quantity</v>
      </c>
      <c r="H1" t="str">
        <f>"Unit Cost"</f>
        <v>Unit Cost</v>
      </c>
      <c r="I1" t="str">
        <f>"Cost Basis"</f>
        <v>Cost Basis</v>
      </c>
      <c r="J1" t="str">
        <f>"Annual Income"</f>
        <v>Annual Income</v>
      </c>
      <c r="K1" t="str">
        <f>"Cumulative Income"</f>
        <v>Cumulative Income</v>
      </c>
      <c r="L1" t="str">
        <f>"Yield at Cost"</f>
        <v>Yield at Cost</v>
      </c>
      <c r="M1" t="str">
        <f>"Current Yield"</f>
        <v>Current Yield</v>
      </c>
    </row>
    <row r="2" spans="1:13" x14ac:dyDescent="0.25">
      <c r="A2" s="1">
        <v>46132</v>
      </c>
      <c r="B2" t="str">
        <f t="shared" ref="B2:B47" si="0">"*Quality All-Cap Dividend Strategy (*DAC)"</f>
        <v>*Quality All-Cap Dividend Strategy (*DAC)</v>
      </c>
      <c r="C2" s="2">
        <v>1.43E-2</v>
      </c>
      <c r="D2" t="str">
        <f>"ALSN"</f>
        <v>ALSN</v>
      </c>
      <c r="E2" t="str">
        <f>"01973R101"</f>
        <v>01973R101</v>
      </c>
      <c r="F2" t="str">
        <f>"Allison Transmission"</f>
        <v>Allison Transmission</v>
      </c>
      <c r="G2">
        <v>310</v>
      </c>
      <c r="H2">
        <v>36.18</v>
      </c>
      <c r="I2" s="3">
        <v>11215.79</v>
      </c>
      <c r="J2">
        <v>359.6</v>
      </c>
      <c r="K2" s="3">
        <v>1742.14</v>
      </c>
      <c r="L2" s="2">
        <v>3.2099999999999997E-2</v>
      </c>
      <c r="M2" s="2">
        <v>8.8999999999999999E-3</v>
      </c>
    </row>
    <row r="3" spans="1:13" x14ac:dyDescent="0.25">
      <c r="A3" s="1">
        <v>46132</v>
      </c>
      <c r="B3" t="str">
        <f t="shared" si="0"/>
        <v>*Quality All-Cap Dividend Strategy (*DAC)</v>
      </c>
      <c r="C3" s="2">
        <v>3.4599999999999999E-2</v>
      </c>
      <c r="D3" t="str">
        <f>"AMGN"</f>
        <v>AMGN</v>
      </c>
      <c r="E3" t="str">
        <f>"031162100"</f>
        <v>031162100</v>
      </c>
      <c r="F3" t="str">
        <f>"Amgen"</f>
        <v>Amgen</v>
      </c>
      <c r="G3">
        <v>277</v>
      </c>
      <c r="H3">
        <v>177.77</v>
      </c>
      <c r="I3" s="3">
        <v>49242.23</v>
      </c>
      <c r="J3" s="3">
        <v>2792.16</v>
      </c>
      <c r="K3" s="3">
        <v>14432.68</v>
      </c>
      <c r="L3" s="2">
        <v>5.67E-2</v>
      </c>
      <c r="M3" s="2">
        <v>2.8799999999999999E-2</v>
      </c>
    </row>
    <row r="4" spans="1:13" x14ac:dyDescent="0.25">
      <c r="A4" s="1">
        <v>46132</v>
      </c>
      <c r="B4" t="str">
        <f t="shared" si="0"/>
        <v>*Quality All-Cap Dividend Strategy (*DAC)</v>
      </c>
      <c r="C4" s="2">
        <v>3.1099999999999999E-2</v>
      </c>
      <c r="D4" t="str">
        <f>"BKH"</f>
        <v>BKH</v>
      </c>
      <c r="E4" t="str">
        <f>"092113109"</f>
        <v>092113109</v>
      </c>
      <c r="F4" t="str">
        <f>"Black Hills"</f>
        <v>Black Hills</v>
      </c>
      <c r="G4" s="3">
        <v>1153</v>
      </c>
      <c r="H4">
        <v>60.29</v>
      </c>
      <c r="I4" s="3">
        <v>69519.64</v>
      </c>
      <c r="J4" s="3">
        <v>3242.24</v>
      </c>
      <c r="K4" s="3">
        <v>6257.58</v>
      </c>
      <c r="L4" s="2">
        <v>4.6600000000000003E-2</v>
      </c>
      <c r="M4" s="2">
        <v>3.7199999999999997E-2</v>
      </c>
    </row>
    <row r="5" spans="1:13" x14ac:dyDescent="0.25">
      <c r="A5" s="1">
        <v>46132</v>
      </c>
      <c r="B5" t="str">
        <f t="shared" si="0"/>
        <v>*Quality All-Cap Dividend Strategy (*DAC)</v>
      </c>
      <c r="C5" s="2">
        <v>1.3899999999999999E-2</v>
      </c>
      <c r="D5" t="str">
        <f>"COR"</f>
        <v>COR</v>
      </c>
      <c r="E5" t="str">
        <f>"03073E105"</f>
        <v>03073E105</v>
      </c>
      <c r="F5" t="str">
        <f>"Cencora"</f>
        <v>Cencora</v>
      </c>
      <c r="G5">
        <v>121</v>
      </c>
      <c r="H5">
        <v>80.72</v>
      </c>
      <c r="I5" s="3">
        <v>9766.81</v>
      </c>
      <c r="J5">
        <v>290.39999999999998</v>
      </c>
      <c r="K5">
        <v>716.94</v>
      </c>
      <c r="L5" s="2">
        <v>2.9700000000000001E-2</v>
      </c>
      <c r="M5" s="2">
        <v>7.4000000000000003E-3</v>
      </c>
    </row>
    <row r="6" spans="1:13" x14ac:dyDescent="0.25">
      <c r="A6" s="1">
        <v>46132</v>
      </c>
      <c r="B6" t="str">
        <f t="shared" si="0"/>
        <v>*Quality All-Cap Dividend Strategy (*DAC)</v>
      </c>
      <c r="C6" s="2">
        <v>1.0699999999999999E-2</v>
      </c>
      <c r="D6" t="str">
        <f>"CNP"</f>
        <v>CNP</v>
      </c>
      <c r="E6" t="str">
        <f>"15189T107"</f>
        <v>15189T107</v>
      </c>
      <c r="F6" t="str">
        <f>"CenterPoint Energy"</f>
        <v>CenterPoint Energy</v>
      </c>
      <c r="G6">
        <v>705</v>
      </c>
      <c r="H6">
        <v>23.81</v>
      </c>
      <c r="I6" s="3">
        <v>16783.93</v>
      </c>
      <c r="J6">
        <v>648.6</v>
      </c>
      <c r="K6" s="3">
        <v>6632.12</v>
      </c>
      <c r="L6" s="2">
        <v>3.8600000000000002E-2</v>
      </c>
      <c r="M6" s="2">
        <v>2.1499999999999998E-2</v>
      </c>
    </row>
    <row r="7" spans="1:13" x14ac:dyDescent="0.25">
      <c r="A7" s="1">
        <v>46132</v>
      </c>
      <c r="B7" t="str">
        <f t="shared" si="0"/>
        <v>*Quality All-Cap Dividend Strategy (*DAC)</v>
      </c>
      <c r="C7" s="2">
        <v>3.09E-2</v>
      </c>
      <c r="D7" t="str">
        <f>"CVX"</f>
        <v>CVX</v>
      </c>
      <c r="E7">
        <v>166764100</v>
      </c>
      <c r="F7" t="str">
        <f>"Chevron"</f>
        <v>Chevron</v>
      </c>
      <c r="G7">
        <v>473</v>
      </c>
      <c r="H7">
        <v>103.97</v>
      </c>
      <c r="I7" s="3">
        <v>49175.49</v>
      </c>
      <c r="J7" s="3">
        <v>3367.76</v>
      </c>
      <c r="K7" s="3">
        <v>20431.169999999998</v>
      </c>
      <c r="L7" s="2">
        <v>6.8500000000000005E-2</v>
      </c>
      <c r="M7" s="2">
        <v>3.8899999999999997E-2</v>
      </c>
    </row>
    <row r="8" spans="1:13" x14ac:dyDescent="0.25">
      <c r="A8" s="1">
        <v>46132</v>
      </c>
      <c r="B8" t="str">
        <f t="shared" si="0"/>
        <v>*Quality All-Cap Dividend Strategy (*DAC)</v>
      </c>
      <c r="C8" s="2">
        <v>2.9899999999999999E-2</v>
      </c>
      <c r="D8" t="str">
        <f>"CSCO"</f>
        <v>CSCO</v>
      </c>
      <c r="E8" t="str">
        <f>"17275R102"</f>
        <v>17275R102</v>
      </c>
      <c r="F8" t="str">
        <f>"Cisco Systems"</f>
        <v>Cisco Systems</v>
      </c>
      <c r="G8">
        <v>958</v>
      </c>
      <c r="H8">
        <v>28.88</v>
      </c>
      <c r="I8" s="3">
        <v>27667.19</v>
      </c>
      <c r="J8" s="3">
        <v>1609.44</v>
      </c>
      <c r="K8" s="3">
        <v>13711.88</v>
      </c>
      <c r="L8" s="2">
        <v>5.8200000000000002E-2</v>
      </c>
      <c r="M8" s="2">
        <v>1.9199999999999998E-2</v>
      </c>
    </row>
    <row r="9" spans="1:13" x14ac:dyDescent="0.25">
      <c r="A9" s="1">
        <v>46132</v>
      </c>
      <c r="B9" t="str">
        <f t="shared" si="0"/>
        <v>*Quality All-Cap Dividend Strategy (*DAC)</v>
      </c>
      <c r="C9" s="2">
        <v>1.7899999999999999E-2</v>
      </c>
      <c r="D9" t="str">
        <f>"CLX"</f>
        <v>CLX</v>
      </c>
      <c r="E9">
        <v>189054109</v>
      </c>
      <c r="F9" t="str">
        <f>"Clorox"</f>
        <v>Clorox</v>
      </c>
      <c r="G9">
        <v>492</v>
      </c>
      <c r="H9">
        <v>119.77</v>
      </c>
      <c r="I9" s="3">
        <v>58925.01</v>
      </c>
      <c r="J9" s="3">
        <v>2440.3200000000002</v>
      </c>
      <c r="K9" s="3">
        <v>7370.68</v>
      </c>
      <c r="L9" s="2">
        <v>4.1399999999999999E-2</v>
      </c>
      <c r="M9" s="2">
        <v>4.8500000000000001E-2</v>
      </c>
    </row>
    <row r="10" spans="1:13" x14ac:dyDescent="0.25">
      <c r="A10" s="1">
        <v>46132</v>
      </c>
      <c r="B10" t="str">
        <f t="shared" si="0"/>
        <v>*Quality All-Cap Dividend Strategy (*DAC)</v>
      </c>
      <c r="C10" s="2">
        <v>3.1199999999999999E-2</v>
      </c>
      <c r="D10" t="str">
        <f>"CME"</f>
        <v>CME</v>
      </c>
      <c r="E10" t="str">
        <f>"12572Q105"</f>
        <v>12572Q105</v>
      </c>
      <c r="F10" t="str">
        <f>"CME Group"</f>
        <v>CME Group</v>
      </c>
      <c r="G10">
        <v>305</v>
      </c>
      <c r="H10">
        <v>214.99</v>
      </c>
      <c r="I10" s="3">
        <v>65572.460000000006</v>
      </c>
      <c r="J10" s="3">
        <v>3416</v>
      </c>
      <c r="K10" s="3">
        <v>5665.85</v>
      </c>
      <c r="L10" s="2">
        <v>5.21E-2</v>
      </c>
      <c r="M10" s="2">
        <v>3.9E-2</v>
      </c>
    </row>
    <row r="11" spans="1:13" x14ac:dyDescent="0.25">
      <c r="A11" s="1">
        <v>46132</v>
      </c>
      <c r="B11" t="str">
        <f t="shared" si="0"/>
        <v>*Quality All-Cap Dividend Strategy (*DAC)</v>
      </c>
      <c r="C11" s="2">
        <v>3.2899999999999999E-2</v>
      </c>
      <c r="D11" t="str">
        <f>"CFR"</f>
        <v>CFR</v>
      </c>
      <c r="E11">
        <v>229899109</v>
      </c>
      <c r="F11" t="str">
        <f>"Cullen/Frost Bankers"</f>
        <v>Cullen/Frost Bankers</v>
      </c>
      <c r="G11">
        <v>640</v>
      </c>
      <c r="H11">
        <v>78.94</v>
      </c>
      <c r="I11" s="3">
        <v>50522.83</v>
      </c>
      <c r="J11" s="3">
        <v>2560</v>
      </c>
      <c r="K11" s="3">
        <v>10964.69</v>
      </c>
      <c r="L11" s="2">
        <v>5.0700000000000002E-2</v>
      </c>
      <c r="M11" s="2">
        <v>2.7699999999999999E-2</v>
      </c>
    </row>
    <row r="12" spans="1:13" x14ac:dyDescent="0.25">
      <c r="A12" s="1">
        <v>46132</v>
      </c>
      <c r="B12" t="str">
        <f t="shared" si="0"/>
        <v>*Quality All-Cap Dividend Strategy (*DAC)</v>
      </c>
      <c r="C12" s="2">
        <v>1.9199999999999998E-2</v>
      </c>
      <c r="D12" t="str">
        <f>"DVN"</f>
        <v>DVN</v>
      </c>
      <c r="E12" t="str">
        <f>"25179M103"</f>
        <v>25179M103</v>
      </c>
      <c r="F12" t="str">
        <f>"Devon Energy"</f>
        <v>Devon Energy</v>
      </c>
      <c r="G12" s="3">
        <v>1201</v>
      </c>
      <c r="H12">
        <v>42.04</v>
      </c>
      <c r="I12" s="3">
        <v>50486.3</v>
      </c>
      <c r="J12" s="3">
        <v>1152.96</v>
      </c>
      <c r="K12" s="3">
        <v>2578.41</v>
      </c>
      <c r="L12" s="2">
        <v>2.2800000000000001E-2</v>
      </c>
      <c r="M12" s="2">
        <v>2.1399999999999999E-2</v>
      </c>
    </row>
    <row r="13" spans="1:13" x14ac:dyDescent="0.25">
      <c r="A13" s="1">
        <v>46132</v>
      </c>
      <c r="B13" t="str">
        <f t="shared" si="0"/>
        <v>*Quality All-Cap Dividend Strategy (*DAC)</v>
      </c>
      <c r="C13" s="2">
        <v>1.29E-2</v>
      </c>
      <c r="D13" t="str">
        <f>"EMN"</f>
        <v>EMN</v>
      </c>
      <c r="E13">
        <v>277432100</v>
      </c>
      <c r="F13" t="str">
        <f>"Eastman Chemical"</f>
        <v>Eastman Chemical</v>
      </c>
      <c r="G13">
        <v>493</v>
      </c>
      <c r="H13">
        <v>76.41</v>
      </c>
      <c r="I13" s="3">
        <v>37669.85</v>
      </c>
      <c r="J13" s="3">
        <v>1656.48</v>
      </c>
      <c r="K13" s="3">
        <v>8427.42</v>
      </c>
      <c r="L13" s="2">
        <v>4.3999999999999997E-2</v>
      </c>
      <c r="M13" s="2">
        <v>4.5600000000000002E-2</v>
      </c>
    </row>
    <row r="14" spans="1:13" x14ac:dyDescent="0.25">
      <c r="A14" s="1">
        <v>46132</v>
      </c>
      <c r="B14" t="str">
        <f t="shared" si="0"/>
        <v>*Quality All-Cap Dividend Strategy (*DAC)</v>
      </c>
      <c r="C14" s="2">
        <v>1.52E-2</v>
      </c>
      <c r="D14" t="str">
        <f>"ETR"</f>
        <v>ETR</v>
      </c>
      <c r="E14" t="str">
        <f>"29364G103"</f>
        <v>29364G103</v>
      </c>
      <c r="F14" t="str">
        <f>"Entergy"</f>
        <v>Entergy</v>
      </c>
      <c r="G14">
        <v>376</v>
      </c>
      <c r="H14">
        <v>45.01</v>
      </c>
      <c r="I14" s="3">
        <v>16922.150000000001</v>
      </c>
      <c r="J14">
        <v>962.56</v>
      </c>
      <c r="K14" s="3">
        <v>5360.76</v>
      </c>
      <c r="L14" s="2">
        <v>5.6899999999999999E-2</v>
      </c>
      <c r="M14" s="2">
        <v>2.2499999999999999E-2</v>
      </c>
    </row>
    <row r="15" spans="1:13" x14ac:dyDescent="0.25">
      <c r="A15" s="1">
        <v>46132</v>
      </c>
      <c r="B15" t="str">
        <f t="shared" si="0"/>
        <v>*Quality All-Cap Dividend Strategy (*DAC)</v>
      </c>
      <c r="C15" s="2">
        <v>2.9100000000000001E-2</v>
      </c>
      <c r="D15" t="str">
        <f>"XOM"</f>
        <v>XOM</v>
      </c>
      <c r="E15" t="str">
        <f>"30231G102"</f>
        <v>30231G102</v>
      </c>
      <c r="F15" t="str">
        <f>"Exxon Mobil"</f>
        <v>Exxon Mobil</v>
      </c>
      <c r="G15">
        <v>553</v>
      </c>
      <c r="H15">
        <v>60.04</v>
      </c>
      <c r="I15" s="3">
        <v>33202.089999999997</v>
      </c>
      <c r="J15" s="3">
        <v>2278.36</v>
      </c>
      <c r="K15" s="3">
        <v>16497.240000000002</v>
      </c>
      <c r="L15" s="2">
        <v>6.8599999999999994E-2</v>
      </c>
      <c r="M15" s="2">
        <v>2.7900000000000001E-2</v>
      </c>
    </row>
    <row r="16" spans="1:13" x14ac:dyDescent="0.25">
      <c r="A16" s="1">
        <v>46132</v>
      </c>
      <c r="B16" t="str">
        <f t="shared" si="0"/>
        <v>*Quality All-Cap Dividend Strategy (*DAC)</v>
      </c>
      <c r="C16" s="2">
        <v>2.1700000000000001E-2</v>
      </c>
      <c r="D16" t="str">
        <f>"GD"</f>
        <v>GD</v>
      </c>
      <c r="E16">
        <v>369550108</v>
      </c>
      <c r="F16" t="str">
        <f>"General Dynamics"</f>
        <v>General Dynamics</v>
      </c>
      <c r="G16">
        <v>183</v>
      </c>
      <c r="H16">
        <v>179.59</v>
      </c>
      <c r="I16" s="3">
        <v>32864.14</v>
      </c>
      <c r="J16" s="3">
        <v>1163.8800000000001</v>
      </c>
      <c r="K16" s="3">
        <v>6026.74</v>
      </c>
      <c r="L16" s="2">
        <v>3.5400000000000001E-2</v>
      </c>
      <c r="M16" s="2">
        <v>1.9099999999999999E-2</v>
      </c>
    </row>
    <row r="17" spans="1:13" x14ac:dyDescent="0.25">
      <c r="A17" s="1">
        <v>46132</v>
      </c>
      <c r="B17" t="str">
        <f t="shared" si="0"/>
        <v>*Quality All-Cap Dividend Strategy (*DAC)</v>
      </c>
      <c r="C17" s="2">
        <v>1.4500000000000001E-2</v>
      </c>
      <c r="D17" t="str">
        <f>"HD"</f>
        <v>HD</v>
      </c>
      <c r="E17">
        <v>437076102</v>
      </c>
      <c r="F17" t="str">
        <f>"Home Depot"</f>
        <v>Home Depot</v>
      </c>
      <c r="G17">
        <v>116</v>
      </c>
      <c r="H17">
        <v>306.81</v>
      </c>
      <c r="I17" s="3">
        <v>35589.919999999998</v>
      </c>
      <c r="J17" s="3">
        <v>1081.1199999999999</v>
      </c>
      <c r="K17" s="3">
        <v>2799.48</v>
      </c>
      <c r="L17" s="2">
        <v>3.04E-2</v>
      </c>
      <c r="M17" s="2">
        <v>2.6599999999999999E-2</v>
      </c>
    </row>
    <row r="18" spans="1:13" x14ac:dyDescent="0.25">
      <c r="A18" s="1">
        <v>46132</v>
      </c>
      <c r="B18" t="str">
        <f t="shared" si="0"/>
        <v>*Quality All-Cap Dividend Strategy (*DAC)</v>
      </c>
      <c r="C18" s="2">
        <v>9.9000000000000008E-3</v>
      </c>
      <c r="D18" t="str">
        <f>"HRL"</f>
        <v>HRL</v>
      </c>
      <c r="E18">
        <v>440452100</v>
      </c>
      <c r="F18" t="str">
        <f>"Hormel Foods"</f>
        <v>Hormel Foods</v>
      </c>
      <c r="G18" s="3">
        <v>1297</v>
      </c>
      <c r="H18">
        <v>31.81</v>
      </c>
      <c r="I18" s="3">
        <v>41251.57</v>
      </c>
      <c r="J18" s="3">
        <v>1517.49</v>
      </c>
      <c r="K18" s="3">
        <v>3154.86</v>
      </c>
      <c r="L18" s="2">
        <v>3.6799999999999999E-2</v>
      </c>
      <c r="M18" s="2">
        <v>5.4899999999999997E-2</v>
      </c>
    </row>
    <row r="19" spans="1:13" x14ac:dyDescent="0.25">
      <c r="A19" s="1">
        <v>46132</v>
      </c>
      <c r="B19" t="str">
        <f t="shared" si="0"/>
        <v>*Quality All-Cap Dividend Strategy (*DAC)</v>
      </c>
      <c r="C19" s="2">
        <v>9.1000000000000004E-3</v>
      </c>
      <c r="D19" t="str">
        <f>"HII"</f>
        <v>HII</v>
      </c>
      <c r="E19">
        <v>446413106</v>
      </c>
      <c r="F19" t="str">
        <f>"Huntington Ingalls"</f>
        <v>Huntington Ingalls</v>
      </c>
      <c r="G19">
        <v>65</v>
      </c>
      <c r="H19">
        <v>196.7</v>
      </c>
      <c r="I19" s="3">
        <v>12785.78</v>
      </c>
      <c r="J19">
        <v>358.8</v>
      </c>
      <c r="K19" s="3">
        <v>4560.78</v>
      </c>
      <c r="L19" s="2">
        <v>2.81E-2</v>
      </c>
      <c r="M19" s="2">
        <v>1.41E-2</v>
      </c>
    </row>
    <row r="20" spans="1:13" x14ac:dyDescent="0.25">
      <c r="A20" s="1">
        <v>46132</v>
      </c>
      <c r="B20" t="str">
        <f t="shared" si="0"/>
        <v>*Quality All-Cap Dividend Strategy (*DAC)</v>
      </c>
      <c r="C20" s="2">
        <v>1.0500000000000001E-2</v>
      </c>
      <c r="D20" t="str">
        <f>"INGR"</f>
        <v>INGR</v>
      </c>
      <c r="E20">
        <v>457187102</v>
      </c>
      <c r="F20" t="str">
        <f>"Ingredion"</f>
        <v>Ingredion</v>
      </c>
      <c r="G20">
        <v>257</v>
      </c>
      <c r="H20">
        <v>80.260000000000005</v>
      </c>
      <c r="I20" s="3">
        <v>20627.78</v>
      </c>
      <c r="J20">
        <v>842.96</v>
      </c>
      <c r="K20" s="3">
        <v>4485.6899999999996</v>
      </c>
      <c r="L20" s="2">
        <v>4.0899999999999999E-2</v>
      </c>
      <c r="M20" s="2">
        <v>2.87E-2</v>
      </c>
    </row>
    <row r="21" spans="1:13" x14ac:dyDescent="0.25">
      <c r="A21" s="1">
        <v>46132</v>
      </c>
      <c r="B21" t="str">
        <f t="shared" si="0"/>
        <v>*Quality All-Cap Dividend Strategy (*DAC)</v>
      </c>
      <c r="C21" s="2">
        <v>1.7000000000000001E-2</v>
      </c>
      <c r="D21" t="str">
        <f>"JKHY"</f>
        <v>JKHY</v>
      </c>
      <c r="E21">
        <v>426281101</v>
      </c>
      <c r="F21" t="str">
        <f>"Jack Henry &amp; Associates"</f>
        <v>Jack Henry &amp; Associates</v>
      </c>
      <c r="G21">
        <v>310</v>
      </c>
      <c r="H21">
        <v>153.01</v>
      </c>
      <c r="I21" s="3">
        <v>47432.14</v>
      </c>
      <c r="J21">
        <v>756.4</v>
      </c>
      <c r="K21" s="3">
        <v>2544.9699999999998</v>
      </c>
      <c r="L21" s="2">
        <v>1.5900000000000001E-2</v>
      </c>
      <c r="M21" s="2">
        <v>1.5900000000000001E-2</v>
      </c>
    </row>
    <row r="22" spans="1:13" x14ac:dyDescent="0.25">
      <c r="A22" s="1">
        <v>46132</v>
      </c>
      <c r="B22" t="str">
        <f t="shared" si="0"/>
        <v>*Quality All-Cap Dividend Strategy (*DAC)</v>
      </c>
      <c r="C22" s="2">
        <v>2.8000000000000001E-2</v>
      </c>
      <c r="D22" t="str">
        <f>"JNJ"</f>
        <v>JNJ</v>
      </c>
      <c r="E22">
        <v>478160104</v>
      </c>
      <c r="F22" t="str">
        <f>"Johnson &amp; Johnson"</f>
        <v>Johnson &amp; Johnson</v>
      </c>
      <c r="G22">
        <v>341</v>
      </c>
      <c r="H22">
        <v>102.72</v>
      </c>
      <c r="I22" s="3">
        <v>35027.519999999997</v>
      </c>
      <c r="J22" s="3">
        <v>1827.76</v>
      </c>
      <c r="K22" s="3">
        <v>14468.63</v>
      </c>
      <c r="L22" s="2">
        <v>5.2200000000000003E-2</v>
      </c>
      <c r="M22" s="2">
        <v>2.3199999999999998E-2</v>
      </c>
    </row>
    <row r="23" spans="1:13" x14ac:dyDescent="0.25">
      <c r="A23" s="1">
        <v>46132</v>
      </c>
      <c r="B23" t="str">
        <f t="shared" si="0"/>
        <v>*Quality All-Cap Dividend Strategy (*DAC)</v>
      </c>
      <c r="C23" s="2">
        <v>2.3E-2</v>
      </c>
      <c r="D23" t="str">
        <f>"JPM"</f>
        <v>JPM</v>
      </c>
      <c r="E23" t="str">
        <f>"46625H100"</f>
        <v>46625H100</v>
      </c>
      <c r="F23" t="str">
        <f>"JPMorgan Chase"</f>
        <v>JPMorgan Chase</v>
      </c>
      <c r="G23">
        <v>204</v>
      </c>
      <c r="H23">
        <v>101.2</v>
      </c>
      <c r="I23" s="3">
        <v>20645.5</v>
      </c>
      <c r="J23" s="3">
        <v>1224</v>
      </c>
      <c r="K23" s="3">
        <v>11895.34</v>
      </c>
      <c r="L23" s="2">
        <v>5.9299999999999999E-2</v>
      </c>
      <c r="M23" s="2">
        <v>1.89E-2</v>
      </c>
    </row>
    <row r="24" spans="1:13" x14ac:dyDescent="0.25">
      <c r="A24" s="1">
        <v>46132</v>
      </c>
      <c r="B24" t="str">
        <f t="shared" si="0"/>
        <v>*Quality All-Cap Dividend Strategy (*DAC)</v>
      </c>
      <c r="C24" s="2">
        <v>1.41E-2</v>
      </c>
      <c r="D24" t="str">
        <f>"LECO"</f>
        <v>LECO</v>
      </c>
      <c r="E24">
        <v>533900106</v>
      </c>
      <c r="F24" t="str">
        <f>"Lincoln Electric"</f>
        <v>Lincoln Electric</v>
      </c>
      <c r="G24">
        <v>153</v>
      </c>
      <c r="H24">
        <v>69.36</v>
      </c>
      <c r="I24" s="3">
        <v>10612.17</v>
      </c>
      <c r="J24">
        <v>483.48</v>
      </c>
      <c r="K24" s="3">
        <v>3561.98</v>
      </c>
      <c r="L24" s="2">
        <v>4.5600000000000002E-2</v>
      </c>
      <c r="M24" s="2">
        <v>1.2200000000000001E-2</v>
      </c>
    </row>
    <row r="25" spans="1:13" x14ac:dyDescent="0.25">
      <c r="A25" s="1">
        <v>46132</v>
      </c>
      <c r="B25" t="str">
        <f t="shared" si="0"/>
        <v>*Quality All-Cap Dividend Strategy (*DAC)</v>
      </c>
      <c r="C25" s="2">
        <v>2.47E-2</v>
      </c>
      <c r="D25" t="str">
        <f>"MKC"</f>
        <v>MKC</v>
      </c>
      <c r="E25">
        <v>579780206</v>
      </c>
      <c r="F25" t="str">
        <f>"McCormick &amp; Co."</f>
        <v>McCormick &amp; Co.</v>
      </c>
      <c r="G25" s="3">
        <v>1311</v>
      </c>
      <c r="H25">
        <v>66.92</v>
      </c>
      <c r="I25" s="3">
        <v>87733.24</v>
      </c>
      <c r="J25" s="3">
        <v>2517.12</v>
      </c>
      <c r="K25">
        <v>295.68</v>
      </c>
      <c r="L25" s="2">
        <v>2.87E-2</v>
      </c>
      <c r="M25" s="2">
        <v>3.6299999999999999E-2</v>
      </c>
    </row>
    <row r="26" spans="1:13" x14ac:dyDescent="0.25">
      <c r="A26" s="1">
        <v>46132</v>
      </c>
      <c r="B26" t="str">
        <f t="shared" si="0"/>
        <v>*Quality All-Cap Dividend Strategy (*DAC)</v>
      </c>
      <c r="C26" s="2">
        <v>1.9900000000000001E-2</v>
      </c>
      <c r="D26" t="str">
        <f>"MDT"</f>
        <v>MDT</v>
      </c>
      <c r="E26" t="str">
        <f>"G5960L103"</f>
        <v>G5960L103</v>
      </c>
      <c r="F26" t="str">
        <f>"Medtronic"</f>
        <v>Medtronic</v>
      </c>
      <c r="G26">
        <v>656</v>
      </c>
      <c r="H26">
        <v>96.05</v>
      </c>
      <c r="I26" s="3">
        <v>63007.75</v>
      </c>
      <c r="J26" s="3">
        <v>1863.04</v>
      </c>
      <c r="K26" s="3">
        <v>6955.28</v>
      </c>
      <c r="L26" s="2">
        <v>2.9600000000000001E-2</v>
      </c>
      <c r="M26" s="2">
        <v>3.3399999999999999E-2</v>
      </c>
    </row>
    <row r="27" spans="1:13" x14ac:dyDescent="0.25">
      <c r="A27" s="1">
        <v>46132</v>
      </c>
      <c r="B27" t="str">
        <f t="shared" si="0"/>
        <v>*Quality All-Cap Dividend Strategy (*DAC)</v>
      </c>
      <c r="C27" s="2">
        <v>2.1000000000000001E-2</v>
      </c>
      <c r="D27" t="str">
        <f>"MSFT"</f>
        <v>MSFT</v>
      </c>
      <c r="E27">
        <v>594918104</v>
      </c>
      <c r="F27" t="str">
        <f>"Microsoft"</f>
        <v>Microsoft</v>
      </c>
      <c r="G27">
        <v>141</v>
      </c>
      <c r="H27">
        <v>54.64</v>
      </c>
      <c r="I27" s="3">
        <v>7703.98</v>
      </c>
      <c r="J27">
        <v>513.24</v>
      </c>
      <c r="K27" s="3">
        <v>5420.8</v>
      </c>
      <c r="L27" s="2">
        <v>6.6600000000000006E-2</v>
      </c>
      <c r="M27" s="2">
        <v>8.6999999999999994E-3</v>
      </c>
    </row>
    <row r="28" spans="1:13" x14ac:dyDescent="0.25">
      <c r="A28" s="1">
        <v>46132</v>
      </c>
      <c r="B28" t="str">
        <f t="shared" si="0"/>
        <v>*Quality All-Cap Dividend Strategy (*DAC)</v>
      </c>
      <c r="C28" s="2">
        <v>1.6E-2</v>
      </c>
      <c r="D28" t="str">
        <f>"MSM"</f>
        <v>MSM</v>
      </c>
      <c r="E28">
        <v>553530106</v>
      </c>
      <c r="F28" t="str">
        <f>"MSC Industrial"</f>
        <v>MSC Industrial</v>
      </c>
      <c r="G28">
        <v>463</v>
      </c>
      <c r="H28">
        <v>72.98</v>
      </c>
      <c r="I28" s="3">
        <v>33787.620000000003</v>
      </c>
      <c r="J28" s="3">
        <v>1611.24</v>
      </c>
      <c r="K28" s="3">
        <v>15553.33</v>
      </c>
      <c r="L28" s="2">
        <v>4.7699999999999999E-2</v>
      </c>
      <c r="M28" s="2">
        <v>3.5799999999999998E-2</v>
      </c>
    </row>
    <row r="29" spans="1:13" x14ac:dyDescent="0.25">
      <c r="A29" s="1">
        <v>46132</v>
      </c>
      <c r="B29" t="str">
        <f t="shared" si="0"/>
        <v>*Quality All-Cap Dividend Strategy (*DAC)</v>
      </c>
      <c r="C29" s="2">
        <v>1.04E-2</v>
      </c>
      <c r="D29" t="str">
        <f>"NKE"</f>
        <v>NKE</v>
      </c>
      <c r="E29">
        <v>654106103</v>
      </c>
      <c r="F29" t="str">
        <f>"Nike"</f>
        <v>Nike</v>
      </c>
      <c r="G29">
        <v>627</v>
      </c>
      <c r="H29">
        <v>75.2</v>
      </c>
      <c r="I29" s="3">
        <v>47151.27</v>
      </c>
      <c r="J29" s="3">
        <v>1028.28</v>
      </c>
      <c r="K29" s="3">
        <v>1157.3399999999999</v>
      </c>
      <c r="L29" s="2">
        <v>2.18E-2</v>
      </c>
      <c r="M29" s="2">
        <v>3.5299999999999998E-2</v>
      </c>
    </row>
    <row r="30" spans="1:13" x14ac:dyDescent="0.25">
      <c r="A30" s="1">
        <v>46132</v>
      </c>
      <c r="B30" t="str">
        <f t="shared" si="0"/>
        <v>*Quality All-Cap Dividend Strategy (*DAC)</v>
      </c>
      <c r="C30" s="2">
        <v>1.35E-2</v>
      </c>
      <c r="D30" t="str">
        <f>"PAYX"</f>
        <v>PAYX</v>
      </c>
      <c r="E30">
        <v>704326107</v>
      </c>
      <c r="F30" t="str">
        <f>"Paychex"</f>
        <v>Paychex</v>
      </c>
      <c r="G30">
        <v>407</v>
      </c>
      <c r="H30">
        <v>77.02</v>
      </c>
      <c r="I30" s="3">
        <v>31346.22</v>
      </c>
      <c r="J30" s="3">
        <v>1758.24</v>
      </c>
      <c r="K30" s="3">
        <v>8842.1200000000008</v>
      </c>
      <c r="L30" s="2">
        <v>5.6099999999999997E-2</v>
      </c>
      <c r="M30" s="2">
        <v>4.6399999999999997E-2</v>
      </c>
    </row>
    <row r="31" spans="1:13" x14ac:dyDescent="0.25">
      <c r="A31" s="1">
        <v>46132</v>
      </c>
      <c r="B31" t="str">
        <f t="shared" si="0"/>
        <v>*Quality All-Cap Dividend Strategy (*DAC)</v>
      </c>
      <c r="C31" s="2">
        <v>2.23E-2</v>
      </c>
      <c r="D31" t="str">
        <f>"PEP"</f>
        <v>PEP</v>
      </c>
      <c r="E31">
        <v>713448108</v>
      </c>
      <c r="F31" t="str">
        <f>"Pepsi"</f>
        <v>Pepsi</v>
      </c>
      <c r="G31">
        <v>398</v>
      </c>
      <c r="H31">
        <v>125.34</v>
      </c>
      <c r="I31" s="3">
        <v>49886.61</v>
      </c>
      <c r="J31" s="3">
        <v>2264.62</v>
      </c>
      <c r="K31" s="3">
        <v>7429.37</v>
      </c>
      <c r="L31" s="2">
        <v>4.5400000000000003E-2</v>
      </c>
      <c r="M31" s="2">
        <v>3.6200000000000003E-2</v>
      </c>
    </row>
    <row r="32" spans="1:13" x14ac:dyDescent="0.25">
      <c r="A32" s="1">
        <v>46132</v>
      </c>
      <c r="B32" t="str">
        <f t="shared" si="0"/>
        <v>*Quality All-Cap Dividend Strategy (*DAC)</v>
      </c>
      <c r="C32" s="2">
        <v>1.7100000000000001E-2</v>
      </c>
      <c r="D32" t="str">
        <f>"PFE"</f>
        <v>PFE</v>
      </c>
      <c r="E32">
        <v>717081103</v>
      </c>
      <c r="F32" t="str">
        <f>"Pfizer"</f>
        <v>Pfizer</v>
      </c>
      <c r="G32" s="3">
        <v>1740</v>
      </c>
      <c r="H32">
        <v>28.54</v>
      </c>
      <c r="I32" s="3">
        <v>49666.38</v>
      </c>
      <c r="J32" s="3">
        <v>2992.8</v>
      </c>
      <c r="K32" s="3">
        <v>18932.849999999999</v>
      </c>
      <c r="L32" s="2">
        <v>6.0299999999999999E-2</v>
      </c>
      <c r="M32" s="2">
        <v>6.25E-2</v>
      </c>
    </row>
    <row r="33" spans="1:13" x14ac:dyDescent="0.25">
      <c r="A33" s="1">
        <v>46132</v>
      </c>
      <c r="B33" t="str">
        <f t="shared" si="0"/>
        <v>*Quality All-Cap Dividend Strategy (*DAC)</v>
      </c>
      <c r="C33" s="2">
        <v>1.7899999999999999E-2</v>
      </c>
      <c r="D33" t="str">
        <f>"PSX"</f>
        <v>PSX</v>
      </c>
      <c r="E33">
        <v>718546104</v>
      </c>
      <c r="F33" t="str">
        <f>"Phillips 66"</f>
        <v>Phillips 66</v>
      </c>
      <c r="G33">
        <v>322</v>
      </c>
      <c r="H33">
        <v>93.14</v>
      </c>
      <c r="I33" s="3">
        <v>29989.52</v>
      </c>
      <c r="J33" s="3">
        <v>1635.76</v>
      </c>
      <c r="K33" s="3">
        <v>5364.52</v>
      </c>
      <c r="L33" s="2">
        <v>5.45E-2</v>
      </c>
      <c r="M33" s="2">
        <v>3.2599999999999997E-2</v>
      </c>
    </row>
    <row r="34" spans="1:13" x14ac:dyDescent="0.25">
      <c r="A34" s="1">
        <v>46132</v>
      </c>
      <c r="B34" t="str">
        <f t="shared" si="0"/>
        <v>*Quality All-Cap Dividend Strategy (*DAC)</v>
      </c>
      <c r="C34" s="2">
        <v>1.7999999999999999E-2</v>
      </c>
      <c r="D34" t="str">
        <f>"POR"</f>
        <v>POR</v>
      </c>
      <c r="E34">
        <v>736508847</v>
      </c>
      <c r="F34" t="str">
        <f>"Portland General Electric Co"</f>
        <v>Portland General Electric Co</v>
      </c>
      <c r="G34">
        <v>984</v>
      </c>
      <c r="H34">
        <v>40.96</v>
      </c>
      <c r="I34" s="3">
        <v>40305.599999999999</v>
      </c>
      <c r="J34" s="3">
        <v>2066.4</v>
      </c>
      <c r="K34" s="3">
        <v>1549.82</v>
      </c>
      <c r="L34" s="2">
        <v>5.1299999999999998E-2</v>
      </c>
      <c r="M34" s="2">
        <v>4.1000000000000002E-2</v>
      </c>
    </row>
    <row r="35" spans="1:13" x14ac:dyDescent="0.25">
      <c r="A35" s="1">
        <v>46132</v>
      </c>
      <c r="B35" t="str">
        <f t="shared" si="0"/>
        <v>*Quality All-Cap Dividend Strategy (*DAC)</v>
      </c>
      <c r="C35" s="2">
        <v>1.1900000000000001E-2</v>
      </c>
      <c r="D35" t="str">
        <f>"PFG"</f>
        <v>PFG</v>
      </c>
      <c r="E35" t="str">
        <f>"74251V102"</f>
        <v>74251V102</v>
      </c>
      <c r="F35" t="str">
        <f>"Principal Financial"</f>
        <v>Principal Financial</v>
      </c>
      <c r="G35">
        <v>346</v>
      </c>
      <c r="H35">
        <v>43.58</v>
      </c>
      <c r="I35" s="3">
        <v>15077.9</v>
      </c>
      <c r="J35" s="3">
        <v>1107.2</v>
      </c>
      <c r="K35" s="3">
        <v>8941.74</v>
      </c>
      <c r="L35" s="2">
        <v>7.3400000000000007E-2</v>
      </c>
      <c r="M35" s="2">
        <v>3.3300000000000003E-2</v>
      </c>
    </row>
    <row r="36" spans="1:13" x14ac:dyDescent="0.25">
      <c r="A36" s="1">
        <v>46132</v>
      </c>
      <c r="B36" t="str">
        <f t="shared" si="0"/>
        <v>*Quality All-Cap Dividend Strategy (*DAC)</v>
      </c>
      <c r="C36" s="2">
        <v>2.7E-2</v>
      </c>
      <c r="D36" t="str">
        <f>"PG"</f>
        <v>PG</v>
      </c>
      <c r="E36">
        <v>742718109</v>
      </c>
      <c r="F36" t="str">
        <f>"Procter &amp; Gamble"</f>
        <v>Procter &amp; Gamble</v>
      </c>
      <c r="G36">
        <v>525</v>
      </c>
      <c r="H36">
        <v>106.36</v>
      </c>
      <c r="I36" s="3">
        <v>55840.19</v>
      </c>
      <c r="J36" s="3">
        <v>2285.85</v>
      </c>
      <c r="K36" s="3">
        <v>9380.9500000000007</v>
      </c>
      <c r="L36" s="2">
        <v>4.0899999999999999E-2</v>
      </c>
      <c r="M36" s="2">
        <v>3.0099999999999998E-2</v>
      </c>
    </row>
    <row r="37" spans="1:13" x14ac:dyDescent="0.25">
      <c r="A37" s="1">
        <v>46132</v>
      </c>
      <c r="B37" t="str">
        <f t="shared" si="0"/>
        <v>*Quality All-Cap Dividend Strategy (*DAC)</v>
      </c>
      <c r="C37" s="2">
        <v>1.8700000000000001E-2</v>
      </c>
      <c r="D37" t="str">
        <f>"DGX"</f>
        <v>DGX</v>
      </c>
      <c r="E37" t="str">
        <f>"74834L100"</f>
        <v>74834L100</v>
      </c>
      <c r="F37" t="str">
        <f>"Quest Diagnostics"</f>
        <v>Quest Diagnostics</v>
      </c>
      <c r="G37">
        <v>268</v>
      </c>
      <c r="H37">
        <v>78.25</v>
      </c>
      <c r="I37" s="3">
        <v>20972.03</v>
      </c>
      <c r="J37">
        <v>921.92</v>
      </c>
      <c r="K37" s="3">
        <v>6009.37</v>
      </c>
      <c r="L37" s="2">
        <v>4.3999999999999997E-2</v>
      </c>
      <c r="M37" s="2">
        <v>1.7500000000000002E-2</v>
      </c>
    </row>
    <row r="38" spans="1:13" x14ac:dyDescent="0.25">
      <c r="A38" s="1">
        <v>46132</v>
      </c>
      <c r="B38" t="str">
        <f t="shared" si="0"/>
        <v>*Quality All-Cap Dividend Strategy (*DAC)</v>
      </c>
      <c r="C38" s="2">
        <v>2.3400000000000001E-2</v>
      </c>
      <c r="D38" t="str">
        <f>"O"</f>
        <v>O</v>
      </c>
      <c r="E38">
        <v>756109104</v>
      </c>
      <c r="F38" t="str">
        <f>"Realty Income"</f>
        <v>Realty Income</v>
      </c>
      <c r="G38" s="3">
        <v>1010</v>
      </c>
      <c r="H38">
        <v>55.77</v>
      </c>
      <c r="I38" s="3">
        <v>56330.78</v>
      </c>
      <c r="J38" s="3">
        <v>3278.46</v>
      </c>
      <c r="K38" s="3">
        <v>5554.75</v>
      </c>
      <c r="L38" s="2">
        <v>5.8200000000000002E-2</v>
      </c>
      <c r="M38" s="2">
        <v>0.05</v>
      </c>
    </row>
    <row r="39" spans="1:13" x14ac:dyDescent="0.25">
      <c r="A39" s="1">
        <v>46132</v>
      </c>
      <c r="B39" t="str">
        <f t="shared" si="0"/>
        <v>*Quality All-Cap Dividend Strategy (*DAC)</v>
      </c>
      <c r="C39" s="2">
        <v>1.6199999999999999E-2</v>
      </c>
      <c r="D39" t="str">
        <f>"RGA"</f>
        <v>RGA</v>
      </c>
      <c r="E39">
        <v>759351604</v>
      </c>
      <c r="F39" t="str">
        <f>"Reinsurance Group of America"</f>
        <v>Reinsurance Group of America</v>
      </c>
      <c r="G39">
        <v>214</v>
      </c>
      <c r="H39">
        <v>222.06</v>
      </c>
      <c r="I39" s="3">
        <v>47521.45</v>
      </c>
      <c r="J39">
        <v>796.08</v>
      </c>
      <c r="K39" s="3">
        <v>1115.04</v>
      </c>
      <c r="L39" s="2">
        <v>1.6799999999999999E-2</v>
      </c>
      <c r="M39" s="2">
        <v>1.7500000000000002E-2</v>
      </c>
    </row>
    <row r="40" spans="1:13" x14ac:dyDescent="0.25">
      <c r="A40" s="1">
        <v>46132</v>
      </c>
      <c r="B40" t="str">
        <f t="shared" si="0"/>
        <v>*Quality All-Cap Dividend Strategy (*DAC)</v>
      </c>
      <c r="C40" s="2">
        <v>1.24E-2</v>
      </c>
      <c r="D40" t="str">
        <f>"SNA"</f>
        <v>SNA</v>
      </c>
      <c r="E40">
        <v>833034101</v>
      </c>
      <c r="F40" t="str">
        <f>"Snap-On"</f>
        <v>Snap-On</v>
      </c>
      <c r="G40">
        <v>90</v>
      </c>
      <c r="H40">
        <v>154.61000000000001</v>
      </c>
      <c r="I40" s="3">
        <v>13915.31</v>
      </c>
      <c r="J40">
        <v>878.4</v>
      </c>
      <c r="K40" s="3">
        <v>4772.18</v>
      </c>
      <c r="L40" s="2">
        <v>6.3100000000000003E-2</v>
      </c>
      <c r="M40" s="2">
        <v>2.52E-2</v>
      </c>
    </row>
    <row r="41" spans="1:13" x14ac:dyDescent="0.25">
      <c r="A41" s="1">
        <v>46132</v>
      </c>
      <c r="B41" t="str">
        <f t="shared" si="0"/>
        <v>*Quality All-Cap Dividend Strategy (*DAC)</v>
      </c>
      <c r="C41" s="2">
        <v>1.0200000000000001E-2</v>
      </c>
      <c r="D41" t="str">
        <f>"SWK"</f>
        <v>SWK</v>
      </c>
      <c r="E41">
        <v>854502101</v>
      </c>
      <c r="F41" t="str">
        <f>"Stanley Black &amp; Decker"</f>
        <v>Stanley Black &amp; Decker</v>
      </c>
      <c r="G41">
        <v>381</v>
      </c>
      <c r="H41">
        <v>84.36</v>
      </c>
      <c r="I41" s="3">
        <v>32141.07</v>
      </c>
      <c r="J41" s="3">
        <v>1264.92</v>
      </c>
      <c r="K41" s="3">
        <v>2183.58</v>
      </c>
      <c r="L41" s="2">
        <v>3.9399999999999998E-2</v>
      </c>
      <c r="M41" s="2">
        <v>4.4200000000000003E-2</v>
      </c>
    </row>
    <row r="42" spans="1:13" x14ac:dyDescent="0.25">
      <c r="A42" s="1">
        <v>46132</v>
      </c>
      <c r="B42" t="str">
        <f t="shared" si="0"/>
        <v>*Quality All-Cap Dividend Strategy (*DAC)</v>
      </c>
      <c r="C42" s="2">
        <v>1.6799999999999999E-2</v>
      </c>
      <c r="D42" t="str">
        <f>"TROW"</f>
        <v>TROW</v>
      </c>
      <c r="E42" t="str">
        <f>"74144T108"</f>
        <v>74144T108</v>
      </c>
      <c r="F42" t="str">
        <f>"T. Rowe Price"</f>
        <v>T. Rowe Price</v>
      </c>
      <c r="G42">
        <v>480</v>
      </c>
      <c r="H42">
        <v>108.14</v>
      </c>
      <c r="I42" s="3">
        <v>51905.69</v>
      </c>
      <c r="J42" s="3">
        <v>2496</v>
      </c>
      <c r="K42" s="3">
        <v>6625.57</v>
      </c>
      <c r="L42" s="2">
        <v>4.8099999999999997E-2</v>
      </c>
      <c r="M42" s="2">
        <v>5.2999999999999999E-2</v>
      </c>
    </row>
    <row r="43" spans="1:13" x14ac:dyDescent="0.25">
      <c r="A43" s="1">
        <v>46132</v>
      </c>
      <c r="B43" t="str">
        <f t="shared" si="0"/>
        <v>*Quality All-Cap Dividend Strategy (*DAC)</v>
      </c>
      <c r="C43" s="2">
        <v>2.58E-2</v>
      </c>
      <c r="D43" t="str">
        <f>"TXN"</f>
        <v>TXN</v>
      </c>
      <c r="E43">
        <v>882508104</v>
      </c>
      <c r="F43" t="str">
        <f>"Texas Instruments"</f>
        <v>Texas Instruments</v>
      </c>
      <c r="G43">
        <v>310</v>
      </c>
      <c r="H43">
        <v>54.81</v>
      </c>
      <c r="I43" s="3">
        <v>16991.099999999999</v>
      </c>
      <c r="J43" s="3">
        <v>1760.8</v>
      </c>
      <c r="K43" s="3">
        <v>12220.2</v>
      </c>
      <c r="L43" s="2">
        <v>0.1036</v>
      </c>
      <c r="M43" s="2">
        <v>2.4299999999999999E-2</v>
      </c>
    </row>
    <row r="44" spans="1:13" x14ac:dyDescent="0.25">
      <c r="A44" s="1">
        <v>46132</v>
      </c>
      <c r="B44" t="str">
        <f t="shared" si="0"/>
        <v>*Quality All-Cap Dividend Strategy (*DAC)</v>
      </c>
      <c r="C44" s="2">
        <v>2.1000000000000001E-2</v>
      </c>
      <c r="D44" t="str">
        <f>"UNP"</f>
        <v>UNP</v>
      </c>
      <c r="E44">
        <v>907818108</v>
      </c>
      <c r="F44" t="str">
        <f>"Union Pacific"</f>
        <v>Union Pacific</v>
      </c>
      <c r="G44">
        <v>234</v>
      </c>
      <c r="H44">
        <v>213.43</v>
      </c>
      <c r="I44" s="3">
        <v>49942.38</v>
      </c>
      <c r="J44" s="3">
        <v>1291.68</v>
      </c>
      <c r="K44" s="3">
        <v>2556.2399999999998</v>
      </c>
      <c r="L44" s="2">
        <v>2.5899999999999999E-2</v>
      </c>
      <c r="M44" s="2">
        <v>2.1899999999999999E-2</v>
      </c>
    </row>
    <row r="45" spans="1:13" x14ac:dyDescent="0.25">
      <c r="A45" s="1">
        <v>46132</v>
      </c>
      <c r="B45" t="str">
        <f t="shared" si="0"/>
        <v>*Quality All-Cap Dividend Strategy (*DAC)</v>
      </c>
      <c r="C45" s="2">
        <v>1.84E-2</v>
      </c>
      <c r="D45" t="str">
        <f>"UPS"</f>
        <v>UPS</v>
      </c>
      <c r="E45">
        <v>911312106</v>
      </c>
      <c r="F45" t="str">
        <f>"United Parcel Service"</f>
        <v>United Parcel Service</v>
      </c>
      <c r="G45">
        <v>482</v>
      </c>
      <c r="H45">
        <v>101.08</v>
      </c>
      <c r="I45" s="3">
        <v>48721.21</v>
      </c>
      <c r="J45" s="3">
        <v>3161.92</v>
      </c>
      <c r="K45" s="3">
        <v>12450.13</v>
      </c>
      <c r="L45" s="2">
        <v>6.4899999999999999E-2</v>
      </c>
      <c r="M45" s="2">
        <v>6.1199999999999997E-2</v>
      </c>
    </row>
    <row r="46" spans="1:13" x14ac:dyDescent="0.25">
      <c r="A46" s="1">
        <v>46132</v>
      </c>
      <c r="B46" t="str">
        <f t="shared" si="0"/>
        <v>*Quality All-Cap Dividend Strategy (*DAC)</v>
      </c>
      <c r="C46" s="2">
        <v>1.52E-2</v>
      </c>
      <c r="D46" t="str">
        <f>"VZ"</f>
        <v>VZ</v>
      </c>
      <c r="E46" t="str">
        <f>"92343V104"</f>
        <v>92343V104</v>
      </c>
      <c r="F46" t="str">
        <f>"Verizon"</f>
        <v>Verizon</v>
      </c>
      <c r="G46">
        <v>918</v>
      </c>
      <c r="H46">
        <v>46.75</v>
      </c>
      <c r="I46" s="3">
        <v>42918.64</v>
      </c>
      <c r="J46" s="3">
        <v>2597.94</v>
      </c>
      <c r="K46" s="3">
        <v>24415.65</v>
      </c>
      <c r="L46" s="2">
        <v>6.0499999999999998E-2</v>
      </c>
      <c r="M46" s="2">
        <v>6.0900000000000003E-2</v>
      </c>
    </row>
    <row r="47" spans="1:13" x14ac:dyDescent="0.25">
      <c r="A47" s="1">
        <v>46132</v>
      </c>
      <c r="B47" t="str">
        <f t="shared" si="0"/>
        <v>*Quality All-Cap Dividend Strategy (*DAC)</v>
      </c>
      <c r="C47" s="2">
        <v>0.13070000000000001</v>
      </c>
      <c r="D47" t="str">
        <f>"CASH"</f>
        <v>CASH</v>
      </c>
      <c r="E47" t="str">
        <f>""</f>
        <v/>
      </c>
      <c r="F47" t="str">
        <f>"Cash"</f>
        <v>Cash</v>
      </c>
      <c r="G47" t="str">
        <f>""</f>
        <v/>
      </c>
      <c r="H47" t="str">
        <f>""</f>
        <v/>
      </c>
      <c r="I47" s="3">
        <v>366782.08</v>
      </c>
      <c r="J47" s="3">
        <v>3667.82</v>
      </c>
      <c r="K47">
        <v>0</v>
      </c>
      <c r="L47" s="2">
        <v>0.01</v>
      </c>
      <c r="M47" s="2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47D9-6492-4DAA-B067-FCAA675FA6AC}">
  <dimension ref="A1:M36"/>
  <sheetViews>
    <sheetView zoomScale="85" zoomScaleNormal="85" workbookViewId="0"/>
  </sheetViews>
  <sheetFormatPr defaultRowHeight="15" x14ac:dyDescent="0.25"/>
  <cols>
    <col min="1" max="1" width="9.7109375" bestFit="1" customWidth="1"/>
    <col min="2" max="2" width="32.5703125" bestFit="1" customWidth="1"/>
    <col min="3" max="3" width="8.140625" bestFit="1" customWidth="1"/>
    <col min="4" max="4" width="7.42578125" bestFit="1" customWidth="1"/>
    <col min="5" max="5" width="10.5703125" bestFit="1" customWidth="1"/>
    <col min="6" max="6" width="28.28515625" bestFit="1" customWidth="1"/>
    <col min="7" max="7" width="8.42578125" bestFit="1" customWidth="1"/>
    <col min="8" max="8" width="8.85546875" bestFit="1" customWidth="1"/>
    <col min="9" max="9" width="11.7109375" bestFit="1" customWidth="1"/>
    <col min="10" max="10" width="14.42578125" bestFit="1" customWidth="1"/>
    <col min="11" max="11" width="18.140625" bestFit="1" customWidth="1"/>
    <col min="12" max="12" width="11.7109375" bestFit="1" customWidth="1"/>
    <col min="13" max="13" width="12.140625" bestFit="1" customWidth="1"/>
  </cols>
  <sheetData>
    <row r="1" spans="1:13" x14ac:dyDescent="0.25">
      <c r="A1" t="str">
        <f>"As of Date"</f>
        <v>As of Date</v>
      </c>
      <c r="B1" t="str">
        <f>"Data For"</f>
        <v>Data For</v>
      </c>
      <c r="C1" t="str">
        <f>"Weight"</f>
        <v>Weight</v>
      </c>
      <c r="D1" t="str">
        <f>"Symbol"</f>
        <v>Symbol</v>
      </c>
      <c r="E1" t="str">
        <f>"CUSIP"</f>
        <v>CUSIP</v>
      </c>
      <c r="F1" t="str">
        <f>"Description"</f>
        <v>Description</v>
      </c>
      <c r="G1" t="str">
        <f>"Quantity"</f>
        <v>Quantity</v>
      </c>
      <c r="H1" t="str">
        <f>"Unit Cost"</f>
        <v>Unit Cost</v>
      </c>
      <c r="I1" t="str">
        <f>"Cost Basis"</f>
        <v>Cost Basis</v>
      </c>
      <c r="J1" t="str">
        <f>"Annual Income"</f>
        <v>Annual Income</v>
      </c>
      <c r="K1" t="str">
        <f>"Cumulative Income"</f>
        <v>Cumulative Income</v>
      </c>
      <c r="L1" t="str">
        <f>"Yield at Cost"</f>
        <v>Yield at Cost</v>
      </c>
      <c r="M1" t="str">
        <f>"Current Yield"</f>
        <v>Current Yield</v>
      </c>
    </row>
    <row r="2" spans="1:13" x14ac:dyDescent="0.25">
      <c r="A2" s="1">
        <v>46132</v>
      </c>
      <c r="B2" t="str">
        <f t="shared" ref="B2:B36" si="0">"*Oregon Dividend Strategy (*QDGR)"</f>
        <v>*Oregon Dividend Strategy (*QDGR)</v>
      </c>
      <c r="C2" s="2">
        <v>2.23E-2</v>
      </c>
      <c r="D2" t="str">
        <f>"AMGN"</f>
        <v>AMGN</v>
      </c>
      <c r="E2" t="str">
        <f>"031162100"</f>
        <v>031162100</v>
      </c>
      <c r="F2" t="str">
        <f>"Amgen"</f>
        <v>Amgen</v>
      </c>
      <c r="G2">
        <v>132</v>
      </c>
      <c r="H2">
        <v>214.05</v>
      </c>
      <c r="I2" s="3">
        <v>28255.18</v>
      </c>
      <c r="J2" s="3">
        <v>1330.56</v>
      </c>
      <c r="K2" s="3">
        <v>8942.89</v>
      </c>
      <c r="L2" s="2">
        <v>4.7100000000000003E-2</v>
      </c>
      <c r="M2" s="2">
        <v>2.8799999999999999E-2</v>
      </c>
    </row>
    <row r="3" spans="1:13" x14ac:dyDescent="0.25">
      <c r="A3" s="1">
        <v>46132</v>
      </c>
      <c r="B3" t="str">
        <f t="shared" si="0"/>
        <v>*Oregon Dividend Strategy (*QDGR)</v>
      </c>
      <c r="C3" s="2">
        <v>3.4500000000000003E-2</v>
      </c>
      <c r="D3" t="str">
        <f>"COR"</f>
        <v>COR</v>
      </c>
      <c r="E3" t="str">
        <f>"03073E105"</f>
        <v>03073E105</v>
      </c>
      <c r="F3" t="str">
        <f>"Cencora"</f>
        <v>Cencora</v>
      </c>
      <c r="G3">
        <v>222</v>
      </c>
      <c r="H3">
        <v>171.96</v>
      </c>
      <c r="I3" s="3">
        <v>38174.32</v>
      </c>
      <c r="J3">
        <v>532.79999999999995</v>
      </c>
      <c r="K3" s="3">
        <v>1395.5</v>
      </c>
      <c r="L3" s="2">
        <v>1.4E-2</v>
      </c>
      <c r="M3" s="2">
        <v>7.4000000000000003E-3</v>
      </c>
    </row>
    <row r="4" spans="1:13" x14ac:dyDescent="0.25">
      <c r="A4" s="1">
        <v>46132</v>
      </c>
      <c r="B4" t="str">
        <f t="shared" si="0"/>
        <v>*Oregon Dividend Strategy (*QDGR)</v>
      </c>
      <c r="C4" s="2">
        <v>5.0700000000000002E-2</v>
      </c>
      <c r="D4" t="str">
        <f>"CSCO"</f>
        <v>CSCO</v>
      </c>
      <c r="E4" t="str">
        <f>"17275R102"</f>
        <v>17275R102</v>
      </c>
      <c r="F4" t="str">
        <f>"Cisco Systems"</f>
        <v>Cisco Systems</v>
      </c>
      <c r="G4" s="3">
        <v>1200</v>
      </c>
      <c r="H4">
        <v>44.4</v>
      </c>
      <c r="I4" s="3">
        <v>53278</v>
      </c>
      <c r="J4" s="3">
        <v>2016</v>
      </c>
      <c r="K4" s="3">
        <v>13646.89</v>
      </c>
      <c r="L4" s="2">
        <v>3.78E-2</v>
      </c>
      <c r="M4" s="2">
        <v>1.9199999999999998E-2</v>
      </c>
    </row>
    <row r="5" spans="1:13" x14ac:dyDescent="0.25">
      <c r="A5" s="1">
        <v>46132</v>
      </c>
      <c r="B5" t="str">
        <f t="shared" si="0"/>
        <v>*Oregon Dividend Strategy (*QDGR)</v>
      </c>
      <c r="C5" s="2">
        <v>1.9099999999999999E-2</v>
      </c>
      <c r="D5" t="str">
        <f>"CLX"</f>
        <v>CLX</v>
      </c>
      <c r="E5">
        <v>189054109</v>
      </c>
      <c r="F5" t="str">
        <f>"Clorox"</f>
        <v>Clorox</v>
      </c>
      <c r="G5">
        <v>388</v>
      </c>
      <c r="H5">
        <v>129.09</v>
      </c>
      <c r="I5" s="3">
        <v>50086.66</v>
      </c>
      <c r="J5" s="3">
        <v>1924.48</v>
      </c>
      <c r="K5" s="3">
        <v>8271.42</v>
      </c>
      <c r="L5" s="2">
        <v>3.8399999999999997E-2</v>
      </c>
      <c r="M5" s="2">
        <v>4.8500000000000001E-2</v>
      </c>
    </row>
    <row r="6" spans="1:13" x14ac:dyDescent="0.25">
      <c r="A6" s="1">
        <v>46132</v>
      </c>
      <c r="B6" t="str">
        <f t="shared" si="0"/>
        <v>*Oregon Dividend Strategy (*QDGR)</v>
      </c>
      <c r="C6" s="2">
        <v>2.4199999999999999E-2</v>
      </c>
      <c r="D6" t="str">
        <f>"CME"</f>
        <v>CME</v>
      </c>
      <c r="E6" t="str">
        <f>"12572Q105"</f>
        <v>12572Q105</v>
      </c>
      <c r="F6" t="str">
        <f>"CME Group"</f>
        <v>CME Group</v>
      </c>
      <c r="G6">
        <v>175</v>
      </c>
      <c r="H6">
        <v>201.92</v>
      </c>
      <c r="I6" s="3">
        <v>35335.85</v>
      </c>
      <c r="J6" s="3">
        <v>1960</v>
      </c>
      <c r="K6" s="3">
        <v>4166.6000000000004</v>
      </c>
      <c r="L6" s="2">
        <v>5.5500000000000001E-2</v>
      </c>
      <c r="M6" s="2">
        <v>3.9E-2</v>
      </c>
    </row>
    <row r="7" spans="1:13" x14ac:dyDescent="0.25">
      <c r="A7" s="1">
        <v>46132</v>
      </c>
      <c r="B7" t="str">
        <f t="shared" si="0"/>
        <v>*Oregon Dividend Strategy (*QDGR)</v>
      </c>
      <c r="C7" s="2">
        <v>2.18E-2</v>
      </c>
      <c r="D7" t="str">
        <f>"KOF"</f>
        <v>KOF</v>
      </c>
      <c r="E7">
        <v>191241108</v>
      </c>
      <c r="F7" t="str">
        <f>"Coca-Cola Femsa"</f>
        <v>Coca-Cola Femsa</v>
      </c>
      <c r="G7">
        <v>443</v>
      </c>
      <c r="H7">
        <v>57.89</v>
      </c>
      <c r="I7" s="3">
        <v>25646.240000000002</v>
      </c>
      <c r="J7" s="3">
        <v>1616.89</v>
      </c>
      <c r="K7" s="3">
        <v>6706.29</v>
      </c>
      <c r="L7" s="2">
        <v>6.3E-2</v>
      </c>
      <c r="M7" s="2">
        <v>3.5700000000000003E-2</v>
      </c>
    </row>
    <row r="8" spans="1:13" x14ac:dyDescent="0.25">
      <c r="A8" s="1">
        <v>46132</v>
      </c>
      <c r="B8" t="str">
        <f t="shared" si="0"/>
        <v>*Oregon Dividend Strategy (*QDGR)</v>
      </c>
      <c r="C8" s="2">
        <v>1.7100000000000001E-2</v>
      </c>
      <c r="D8" t="str">
        <f>"CFR"</f>
        <v>CFR</v>
      </c>
      <c r="E8">
        <v>229899109</v>
      </c>
      <c r="F8" t="str">
        <f>"Cullen/Frost Bankers"</f>
        <v>Cullen/Frost Bankers</v>
      </c>
      <c r="G8">
        <v>246</v>
      </c>
      <c r="H8">
        <v>89.3</v>
      </c>
      <c r="I8" s="3">
        <v>21967.48</v>
      </c>
      <c r="J8">
        <v>984</v>
      </c>
      <c r="K8" s="3">
        <v>2690.26</v>
      </c>
      <c r="L8" s="2">
        <v>4.48E-2</v>
      </c>
      <c r="M8" s="2">
        <v>2.7699999999999999E-2</v>
      </c>
    </row>
    <row r="9" spans="1:13" x14ac:dyDescent="0.25">
      <c r="A9" s="1">
        <v>46132</v>
      </c>
      <c r="B9" t="str">
        <f t="shared" si="0"/>
        <v>*Oregon Dividend Strategy (*QDGR)</v>
      </c>
      <c r="C9" s="2">
        <v>1.9800000000000002E-2</v>
      </c>
      <c r="D9" t="str">
        <f>"ETR"</f>
        <v>ETR</v>
      </c>
      <c r="E9" t="str">
        <f>"29364G103"</f>
        <v>29364G103</v>
      </c>
      <c r="F9" t="str">
        <f>"Entergy"</f>
        <v>Entergy</v>
      </c>
      <c r="G9">
        <v>361</v>
      </c>
      <c r="H9">
        <v>45.51</v>
      </c>
      <c r="I9" s="3">
        <v>16428.93</v>
      </c>
      <c r="J9">
        <v>924.16</v>
      </c>
      <c r="K9" s="3">
        <v>2928.88</v>
      </c>
      <c r="L9" s="2">
        <v>5.6300000000000003E-2</v>
      </c>
      <c r="M9" s="2">
        <v>2.2499999999999999E-2</v>
      </c>
    </row>
    <row r="10" spans="1:13" x14ac:dyDescent="0.25">
      <c r="A10" s="1">
        <v>46132</v>
      </c>
      <c r="B10" t="str">
        <f t="shared" si="0"/>
        <v>*Oregon Dividend Strategy (*QDGR)</v>
      </c>
      <c r="C10" s="2">
        <v>4.1599999999999998E-2</v>
      </c>
      <c r="D10" t="str">
        <f>"HD"</f>
        <v>HD</v>
      </c>
      <c r="E10">
        <v>437076102</v>
      </c>
      <c r="F10" t="str">
        <f>"Home Depot"</f>
        <v>Home Depot</v>
      </c>
      <c r="G10">
        <v>246</v>
      </c>
      <c r="H10">
        <v>313.70999999999998</v>
      </c>
      <c r="I10" s="3">
        <v>77172.179999999993</v>
      </c>
      <c r="J10" s="3">
        <v>2292.7199999999998</v>
      </c>
      <c r="K10" s="3">
        <v>4769.03</v>
      </c>
      <c r="L10" s="2">
        <v>2.9700000000000001E-2</v>
      </c>
      <c r="M10" s="2">
        <v>2.6599999999999999E-2</v>
      </c>
    </row>
    <row r="11" spans="1:13" x14ac:dyDescent="0.25">
      <c r="A11" s="1">
        <v>46132</v>
      </c>
      <c r="B11" t="str">
        <f t="shared" si="0"/>
        <v>*Oregon Dividend Strategy (*QDGR)</v>
      </c>
      <c r="C11" s="2">
        <v>1.55E-2</v>
      </c>
      <c r="D11" t="str">
        <f>"INGR"</f>
        <v>INGR</v>
      </c>
      <c r="E11">
        <v>457187102</v>
      </c>
      <c r="F11" t="str">
        <f>"Ingredion"</f>
        <v>Ingredion</v>
      </c>
      <c r="G11">
        <v>282</v>
      </c>
      <c r="H11">
        <v>95.71</v>
      </c>
      <c r="I11" s="3">
        <v>26990.14</v>
      </c>
      <c r="J11">
        <v>924.96</v>
      </c>
      <c r="K11" s="3">
        <v>3831.69</v>
      </c>
      <c r="L11" s="2">
        <v>3.4299999999999997E-2</v>
      </c>
      <c r="M11" s="2">
        <v>2.87E-2</v>
      </c>
    </row>
    <row r="12" spans="1:13" x14ac:dyDescent="0.25">
      <c r="A12" s="1">
        <v>46132</v>
      </c>
      <c r="B12" t="str">
        <f t="shared" si="0"/>
        <v>*Oregon Dividend Strategy (*QDGR)</v>
      </c>
      <c r="C12" s="2">
        <v>2.2100000000000002E-2</v>
      </c>
      <c r="D12" t="str">
        <f>"JKHY"</f>
        <v>JKHY</v>
      </c>
      <c r="E12">
        <v>426281101</v>
      </c>
      <c r="F12" t="str">
        <f>"Jack Henry &amp; Associates"</f>
        <v>Jack Henry &amp; Associates</v>
      </c>
      <c r="G12">
        <v>298</v>
      </c>
      <c r="H12">
        <v>158.72999999999999</v>
      </c>
      <c r="I12" s="3">
        <v>47301.48</v>
      </c>
      <c r="J12">
        <v>727.12</v>
      </c>
      <c r="K12" s="3">
        <v>3205.23</v>
      </c>
      <c r="L12" s="2">
        <v>1.54E-2</v>
      </c>
      <c r="M12" s="2">
        <v>1.5900000000000001E-2</v>
      </c>
    </row>
    <row r="13" spans="1:13" x14ac:dyDescent="0.25">
      <c r="A13" s="1">
        <v>46132</v>
      </c>
      <c r="B13" t="str">
        <f t="shared" si="0"/>
        <v>*Oregon Dividend Strategy (*QDGR)</v>
      </c>
      <c r="C13" s="2">
        <v>2.3699999999999999E-2</v>
      </c>
      <c r="D13" t="str">
        <f>"JNJ"</f>
        <v>JNJ</v>
      </c>
      <c r="E13">
        <v>478160104</v>
      </c>
      <c r="F13" t="str">
        <f>"Johnson &amp; Johnson"</f>
        <v>Johnson &amp; Johnson</v>
      </c>
      <c r="G13">
        <v>213</v>
      </c>
      <c r="H13">
        <v>151.65</v>
      </c>
      <c r="I13" s="3">
        <v>32302.51</v>
      </c>
      <c r="J13" s="3">
        <v>1141.68</v>
      </c>
      <c r="K13" s="3">
        <v>3431.4</v>
      </c>
      <c r="L13" s="2">
        <v>3.5299999999999998E-2</v>
      </c>
      <c r="M13" s="2">
        <v>2.3199999999999998E-2</v>
      </c>
    </row>
    <row r="14" spans="1:13" x14ac:dyDescent="0.25">
      <c r="A14" s="1">
        <v>46132</v>
      </c>
      <c r="B14" t="str">
        <f t="shared" si="0"/>
        <v>*Oregon Dividend Strategy (*QDGR)</v>
      </c>
      <c r="C14" s="2">
        <v>3.0099999999999998E-2</v>
      </c>
      <c r="D14" t="str">
        <f>"JPM"</f>
        <v>JPM</v>
      </c>
      <c r="E14" t="str">
        <f>"46625H100"</f>
        <v>46625H100</v>
      </c>
      <c r="F14" t="str">
        <f>"JPMorgan Chase"</f>
        <v>JPMorgan Chase</v>
      </c>
      <c r="G14">
        <v>197</v>
      </c>
      <c r="H14">
        <v>190.55</v>
      </c>
      <c r="I14" s="3">
        <v>37539.32</v>
      </c>
      <c r="J14" s="3">
        <v>1182</v>
      </c>
      <c r="K14" s="3">
        <v>6989.48</v>
      </c>
      <c r="L14" s="2">
        <v>3.15E-2</v>
      </c>
      <c r="M14" s="2">
        <v>1.89E-2</v>
      </c>
    </row>
    <row r="15" spans="1:13" x14ac:dyDescent="0.25">
      <c r="A15" s="1">
        <v>46132</v>
      </c>
      <c r="B15" t="str">
        <f t="shared" si="0"/>
        <v>*Oregon Dividend Strategy (*QDGR)</v>
      </c>
      <c r="C15" s="2">
        <v>1.8499999999999999E-2</v>
      </c>
      <c r="D15" t="str">
        <f>"LECO"</f>
        <v>LECO</v>
      </c>
      <c r="E15">
        <v>533900106</v>
      </c>
      <c r="F15" t="str">
        <f>"Lincoln Electric"</f>
        <v>Lincoln Electric</v>
      </c>
      <c r="G15">
        <v>148</v>
      </c>
      <c r="H15">
        <v>131.31</v>
      </c>
      <c r="I15" s="3">
        <v>19433.61</v>
      </c>
      <c r="J15">
        <v>467.68</v>
      </c>
      <c r="K15" s="3">
        <v>2550.0100000000002</v>
      </c>
      <c r="L15" s="2">
        <v>2.41E-2</v>
      </c>
      <c r="M15" s="2">
        <v>1.2200000000000001E-2</v>
      </c>
    </row>
    <row r="16" spans="1:13" x14ac:dyDescent="0.25">
      <c r="A16" s="1">
        <v>46132</v>
      </c>
      <c r="B16" t="str">
        <f t="shared" si="0"/>
        <v>*Oregon Dividend Strategy (*QDGR)</v>
      </c>
      <c r="C16" s="2">
        <v>1.1299999999999999E-2</v>
      </c>
      <c r="D16" t="str">
        <f>"MKC"</f>
        <v>MKC</v>
      </c>
      <c r="E16">
        <v>579780206</v>
      </c>
      <c r="F16" t="str">
        <f>"McCormick &amp; Co."</f>
        <v>McCormick &amp; Co.</v>
      </c>
      <c r="G16">
        <v>445</v>
      </c>
      <c r="H16">
        <v>65.97</v>
      </c>
      <c r="I16" s="3">
        <v>29357.759999999998</v>
      </c>
      <c r="J16">
        <v>854.4</v>
      </c>
      <c r="K16">
        <v>213.6</v>
      </c>
      <c r="L16" s="2">
        <v>2.9100000000000001E-2</v>
      </c>
      <c r="M16" s="2">
        <v>3.6299999999999999E-2</v>
      </c>
    </row>
    <row r="17" spans="1:13" x14ac:dyDescent="0.25">
      <c r="A17" s="1">
        <v>46132</v>
      </c>
      <c r="B17" t="str">
        <f t="shared" si="0"/>
        <v>*Oregon Dividend Strategy (*QDGR)</v>
      </c>
      <c r="C17" s="2">
        <v>2.9499999999999998E-2</v>
      </c>
      <c r="D17" t="str">
        <f>"MDT"</f>
        <v>MDT</v>
      </c>
      <c r="E17" t="str">
        <f>"G5960L103"</f>
        <v>G5960L103</v>
      </c>
      <c r="F17" t="str">
        <f>"Medtronic"</f>
        <v>Medtronic</v>
      </c>
      <c r="G17">
        <v>720</v>
      </c>
      <c r="H17">
        <v>92.77</v>
      </c>
      <c r="I17" s="3">
        <v>66796.47</v>
      </c>
      <c r="J17" s="3">
        <v>2044.8</v>
      </c>
      <c r="K17" s="3">
        <v>5524.81</v>
      </c>
      <c r="L17" s="2">
        <v>3.0599999999999999E-2</v>
      </c>
      <c r="M17" s="2">
        <v>3.3399999999999999E-2</v>
      </c>
    </row>
    <row r="18" spans="1:13" x14ac:dyDescent="0.25">
      <c r="A18" s="1">
        <v>46132</v>
      </c>
      <c r="B18" t="str">
        <f t="shared" si="0"/>
        <v>*Oregon Dividend Strategy (*QDGR)</v>
      </c>
      <c r="C18" s="2">
        <v>3.7400000000000003E-2</v>
      </c>
      <c r="D18" t="str">
        <f>"MSFT"</f>
        <v>MSFT</v>
      </c>
      <c r="E18">
        <v>594918104</v>
      </c>
      <c r="F18" t="str">
        <f>"Microsoft"</f>
        <v>Microsoft</v>
      </c>
      <c r="G18">
        <v>186</v>
      </c>
      <c r="H18">
        <v>181.66</v>
      </c>
      <c r="I18" s="3">
        <v>33789.660000000003</v>
      </c>
      <c r="J18">
        <v>677.04</v>
      </c>
      <c r="K18" s="3">
        <v>4357.32</v>
      </c>
      <c r="L18" s="2">
        <v>0.02</v>
      </c>
      <c r="M18" s="2">
        <v>8.6999999999999994E-3</v>
      </c>
    </row>
    <row r="19" spans="1:13" x14ac:dyDescent="0.25">
      <c r="A19" s="1">
        <v>46132</v>
      </c>
      <c r="B19" t="str">
        <f t="shared" si="0"/>
        <v>*Oregon Dividend Strategy (*QDGR)</v>
      </c>
      <c r="C19" s="2">
        <v>2.6599999999999999E-2</v>
      </c>
      <c r="D19" t="str">
        <f>"MSM"</f>
        <v>MSM</v>
      </c>
      <c r="E19">
        <v>553530106</v>
      </c>
      <c r="F19" t="str">
        <f>"MSC Industrial"</f>
        <v>MSC Industrial</v>
      </c>
      <c r="G19">
        <v>568</v>
      </c>
      <c r="H19">
        <v>67.22</v>
      </c>
      <c r="I19" s="3">
        <v>38178.61</v>
      </c>
      <c r="J19" s="3">
        <v>1976.64</v>
      </c>
      <c r="K19" s="3">
        <v>10472.549999999999</v>
      </c>
      <c r="L19" s="2">
        <v>5.1799999999999999E-2</v>
      </c>
      <c r="M19" s="2">
        <v>3.5799999999999998E-2</v>
      </c>
    </row>
    <row r="20" spans="1:13" x14ac:dyDescent="0.25">
      <c r="A20" s="1">
        <v>46132</v>
      </c>
      <c r="B20" t="str">
        <f t="shared" si="0"/>
        <v>*Oregon Dividend Strategy (*QDGR)</v>
      </c>
      <c r="C20" s="2">
        <v>3.4799999999999998E-2</v>
      </c>
      <c r="D20" t="str">
        <f>"NKE"</f>
        <v>NKE</v>
      </c>
      <c r="E20">
        <v>654106103</v>
      </c>
      <c r="F20" t="str">
        <f>"Nike"</f>
        <v>Nike</v>
      </c>
      <c r="G20" s="3">
        <v>1557</v>
      </c>
      <c r="H20">
        <v>60.32</v>
      </c>
      <c r="I20" s="3">
        <v>93912.67</v>
      </c>
      <c r="J20" s="3">
        <v>2553.48</v>
      </c>
      <c r="K20" s="3">
        <v>1618.96</v>
      </c>
      <c r="L20" s="2">
        <v>2.7199999999999998E-2</v>
      </c>
      <c r="M20" s="2">
        <v>3.5299999999999998E-2</v>
      </c>
    </row>
    <row r="21" spans="1:13" x14ac:dyDescent="0.25">
      <c r="A21" s="1">
        <v>46132</v>
      </c>
      <c r="B21" t="str">
        <f t="shared" si="0"/>
        <v>*Oregon Dividend Strategy (*QDGR)</v>
      </c>
      <c r="C21" s="2">
        <v>2.7900000000000001E-2</v>
      </c>
      <c r="D21" t="str">
        <f>"NVO"</f>
        <v>NVO</v>
      </c>
      <c r="E21">
        <v>670100205</v>
      </c>
      <c r="F21" t="str">
        <f>"Novo Nordisk"</f>
        <v>Novo Nordisk</v>
      </c>
      <c r="G21" s="3">
        <v>1433</v>
      </c>
      <c r="H21">
        <v>57.38</v>
      </c>
      <c r="I21" s="3">
        <v>82228.95</v>
      </c>
      <c r="J21" s="3">
        <v>1841.75</v>
      </c>
      <c r="K21" s="3">
        <v>1877.33</v>
      </c>
      <c r="L21" s="2">
        <v>2.24E-2</v>
      </c>
      <c r="M21" s="2">
        <v>3.1800000000000002E-2</v>
      </c>
    </row>
    <row r="22" spans="1:13" x14ac:dyDescent="0.25">
      <c r="A22" s="1">
        <v>46132</v>
      </c>
      <c r="B22" t="str">
        <f t="shared" si="0"/>
        <v>*Oregon Dividend Strategy (*QDGR)</v>
      </c>
      <c r="C22" s="2">
        <v>2.64E-2</v>
      </c>
      <c r="D22" t="str">
        <f>"PAYX"</f>
        <v>PAYX</v>
      </c>
      <c r="E22">
        <v>704326107</v>
      </c>
      <c r="F22" t="str">
        <f>"Paychex"</f>
        <v>Paychex</v>
      </c>
      <c r="G22">
        <v>588</v>
      </c>
      <c r="H22">
        <v>89.04</v>
      </c>
      <c r="I22" s="3">
        <v>52353.599999999999</v>
      </c>
      <c r="J22" s="3">
        <v>2540.16</v>
      </c>
      <c r="K22" s="3">
        <v>8044.04</v>
      </c>
      <c r="L22" s="2">
        <v>4.8500000000000001E-2</v>
      </c>
      <c r="M22" s="2">
        <v>4.6399999999999997E-2</v>
      </c>
    </row>
    <row r="23" spans="1:13" x14ac:dyDescent="0.25">
      <c r="A23" s="1">
        <v>46132</v>
      </c>
      <c r="B23" t="str">
        <f t="shared" si="0"/>
        <v>*Oregon Dividend Strategy (*QDGR)</v>
      </c>
      <c r="C23" s="2">
        <v>2.4899999999999999E-2</v>
      </c>
      <c r="D23" t="str">
        <f>"PEP"</f>
        <v>PEP</v>
      </c>
      <c r="E23">
        <v>713448108</v>
      </c>
      <c r="F23" t="str">
        <f>"Pepsi"</f>
        <v>Pepsi</v>
      </c>
      <c r="G23">
        <v>330</v>
      </c>
      <c r="H23">
        <v>123.24</v>
      </c>
      <c r="I23" s="3">
        <v>40670.410000000003</v>
      </c>
      <c r="J23" s="3">
        <v>1877.7</v>
      </c>
      <c r="K23" s="3">
        <v>9422.84</v>
      </c>
      <c r="L23" s="2">
        <v>4.6199999999999998E-2</v>
      </c>
      <c r="M23" s="2">
        <v>3.6200000000000003E-2</v>
      </c>
    </row>
    <row r="24" spans="1:13" x14ac:dyDescent="0.25">
      <c r="A24" s="1">
        <v>46132</v>
      </c>
      <c r="B24" t="str">
        <f t="shared" si="0"/>
        <v>*Oregon Dividend Strategy (*QDGR)</v>
      </c>
      <c r="C24" s="2">
        <v>2.69E-2</v>
      </c>
      <c r="D24" t="str">
        <f>"PFE"</f>
        <v>PFE</v>
      </c>
      <c r="E24">
        <v>717081103</v>
      </c>
      <c r="F24" t="str">
        <f>"Pfizer"</f>
        <v>Pfizer</v>
      </c>
      <c r="G24" s="3">
        <v>2028</v>
      </c>
      <c r="H24">
        <v>28.31</v>
      </c>
      <c r="I24" s="3">
        <v>57414.27</v>
      </c>
      <c r="J24" s="3">
        <v>3488.16</v>
      </c>
      <c r="K24" s="3">
        <v>9533.2999999999993</v>
      </c>
      <c r="L24" s="2">
        <v>6.08E-2</v>
      </c>
      <c r="M24" s="2">
        <v>6.25E-2</v>
      </c>
    </row>
    <row r="25" spans="1:13" x14ac:dyDescent="0.25">
      <c r="A25" s="1">
        <v>46132</v>
      </c>
      <c r="B25" t="str">
        <f t="shared" si="0"/>
        <v>*Oregon Dividend Strategy (*QDGR)</v>
      </c>
      <c r="C25" s="2">
        <v>4.7100000000000003E-2</v>
      </c>
      <c r="D25" t="str">
        <f>"PFG"</f>
        <v>PFG</v>
      </c>
      <c r="E25" t="str">
        <f>"74251V102"</f>
        <v>74251V102</v>
      </c>
      <c r="F25" t="str">
        <f>"Principal Financial"</f>
        <v>Principal Financial</v>
      </c>
      <c r="G25" s="3">
        <v>1018</v>
      </c>
      <c r="H25">
        <v>68.709999999999994</v>
      </c>
      <c r="I25" s="3">
        <v>69943.92</v>
      </c>
      <c r="J25" s="3">
        <v>3257.6</v>
      </c>
      <c r="K25" s="3">
        <v>13842.15</v>
      </c>
      <c r="L25" s="2">
        <v>4.6600000000000003E-2</v>
      </c>
      <c r="M25" s="2">
        <v>3.3300000000000003E-2</v>
      </c>
    </row>
    <row r="26" spans="1:13" x14ac:dyDescent="0.25">
      <c r="A26" s="1">
        <v>46132</v>
      </c>
      <c r="B26" t="str">
        <f t="shared" si="0"/>
        <v>*Oregon Dividend Strategy (*QDGR)</v>
      </c>
      <c r="C26" s="2">
        <v>1.9599999999999999E-2</v>
      </c>
      <c r="D26" t="str">
        <f>"PG"</f>
        <v>PG</v>
      </c>
      <c r="E26">
        <v>742718109</v>
      </c>
      <c r="F26" t="str">
        <f>"Procter &amp; Gamble"</f>
        <v>Procter &amp; Gamble</v>
      </c>
      <c r="G26">
        <v>282</v>
      </c>
      <c r="H26">
        <v>110.13</v>
      </c>
      <c r="I26" s="3">
        <v>31056.799999999999</v>
      </c>
      <c r="J26" s="3">
        <v>1227.83</v>
      </c>
      <c r="K26" s="3">
        <v>6062.71</v>
      </c>
      <c r="L26" s="2">
        <v>3.95E-2</v>
      </c>
      <c r="M26" s="2">
        <v>3.0099999999999998E-2</v>
      </c>
    </row>
    <row r="27" spans="1:13" x14ac:dyDescent="0.25">
      <c r="A27" s="1">
        <v>46132</v>
      </c>
      <c r="B27" t="str">
        <f t="shared" si="0"/>
        <v>*Oregon Dividend Strategy (*QDGR)</v>
      </c>
      <c r="C27" s="2">
        <v>2.4899999999999999E-2</v>
      </c>
      <c r="D27" t="str">
        <f>"DGX"</f>
        <v>DGX</v>
      </c>
      <c r="E27" t="str">
        <f>"74834L100"</f>
        <v>74834L100</v>
      </c>
      <c r="F27" t="str">
        <f>"Quest Diagnostics"</f>
        <v>Quest Diagnostics</v>
      </c>
      <c r="G27">
        <v>263</v>
      </c>
      <c r="H27">
        <v>87.97</v>
      </c>
      <c r="I27" s="3">
        <v>23136.11</v>
      </c>
      <c r="J27">
        <v>904.72</v>
      </c>
      <c r="K27" s="3">
        <v>4268.58</v>
      </c>
      <c r="L27" s="2">
        <v>3.9100000000000003E-2</v>
      </c>
      <c r="M27" s="2">
        <v>1.7500000000000002E-2</v>
      </c>
    </row>
    <row r="28" spans="1:13" x14ac:dyDescent="0.25">
      <c r="A28" s="1">
        <v>46132</v>
      </c>
      <c r="B28" t="str">
        <f t="shared" si="0"/>
        <v>*Oregon Dividend Strategy (*QDGR)</v>
      </c>
      <c r="C28" s="2">
        <v>2.93E-2</v>
      </c>
      <c r="D28" t="str">
        <f>"O"</f>
        <v>O</v>
      </c>
      <c r="E28">
        <v>756109104</v>
      </c>
      <c r="F28" t="str">
        <f>"Realty Income"</f>
        <v>Realty Income</v>
      </c>
      <c r="G28">
        <v>938</v>
      </c>
      <c r="H28">
        <v>53.26</v>
      </c>
      <c r="I28" s="3">
        <v>49960.92</v>
      </c>
      <c r="J28" s="3">
        <v>3044.75</v>
      </c>
      <c r="K28" s="3">
        <v>6241.01</v>
      </c>
      <c r="L28" s="2">
        <v>6.0900000000000003E-2</v>
      </c>
      <c r="M28" s="2">
        <v>0.05</v>
      </c>
    </row>
    <row r="29" spans="1:13" x14ac:dyDescent="0.25">
      <c r="A29" s="1">
        <v>46132</v>
      </c>
      <c r="B29" t="str">
        <f t="shared" si="0"/>
        <v>*Oregon Dividend Strategy (*QDGR)</v>
      </c>
      <c r="C29" s="2">
        <v>3.1E-2</v>
      </c>
      <c r="D29" t="str">
        <f>"RGA"</f>
        <v>RGA</v>
      </c>
      <c r="E29">
        <v>759351604</v>
      </c>
      <c r="F29" t="str">
        <f>"Reinsurance Group of America"</f>
        <v>Reinsurance Group of America</v>
      </c>
      <c r="G29">
        <v>303</v>
      </c>
      <c r="H29">
        <v>210.31</v>
      </c>
      <c r="I29" s="3">
        <v>63722.6</v>
      </c>
      <c r="J29" s="3">
        <v>1127.1600000000001</v>
      </c>
      <c r="K29" s="3">
        <v>1257.3900000000001</v>
      </c>
      <c r="L29" s="2">
        <v>1.77E-2</v>
      </c>
      <c r="M29" s="2">
        <v>1.7500000000000002E-2</v>
      </c>
    </row>
    <row r="30" spans="1:13" x14ac:dyDescent="0.25">
      <c r="A30" s="1">
        <v>46132</v>
      </c>
      <c r="B30" t="str">
        <f t="shared" si="0"/>
        <v>*Oregon Dividend Strategy (*QDGR)</v>
      </c>
      <c r="C30" s="2">
        <v>3.2199999999999999E-2</v>
      </c>
      <c r="D30" t="str">
        <f>"TROW"</f>
        <v>TROW</v>
      </c>
      <c r="E30" t="str">
        <f>"74144T108"</f>
        <v>74144T108</v>
      </c>
      <c r="F30" t="str">
        <f>"T. Rowe Price"</f>
        <v>T. Rowe Price</v>
      </c>
      <c r="G30">
        <v>682</v>
      </c>
      <c r="H30">
        <v>103.59</v>
      </c>
      <c r="I30" s="3">
        <v>70648.570000000007</v>
      </c>
      <c r="J30" s="3">
        <v>3546.4</v>
      </c>
      <c r="K30" s="3">
        <v>6905.44</v>
      </c>
      <c r="L30" s="2">
        <v>5.0200000000000002E-2</v>
      </c>
      <c r="M30" s="2">
        <v>5.2999999999999999E-2</v>
      </c>
    </row>
    <row r="31" spans="1:13" x14ac:dyDescent="0.25">
      <c r="A31" s="1">
        <v>46132</v>
      </c>
      <c r="B31" t="str">
        <f t="shared" si="0"/>
        <v>*Oregon Dividend Strategy (*QDGR)</v>
      </c>
      <c r="C31" s="2">
        <v>2.7099999999999999E-2</v>
      </c>
      <c r="D31" t="str">
        <f>"TXN"</f>
        <v>TXN</v>
      </c>
      <c r="E31">
        <v>882508104</v>
      </c>
      <c r="F31" t="str">
        <f>"Texas Instruments"</f>
        <v>Texas Instruments</v>
      </c>
      <c r="G31">
        <v>241</v>
      </c>
      <c r="H31">
        <v>105.46</v>
      </c>
      <c r="I31" s="3">
        <v>25416.41</v>
      </c>
      <c r="J31" s="3">
        <v>1368.88</v>
      </c>
      <c r="K31" s="3">
        <v>9505.7999999999993</v>
      </c>
      <c r="L31" s="2">
        <v>5.3900000000000003E-2</v>
      </c>
      <c r="M31" s="2">
        <v>2.4299999999999999E-2</v>
      </c>
    </row>
    <row r="32" spans="1:13" x14ac:dyDescent="0.25">
      <c r="A32" s="1">
        <v>46132</v>
      </c>
      <c r="B32" t="str">
        <f t="shared" si="0"/>
        <v>*Oregon Dividend Strategy (*QDGR)</v>
      </c>
      <c r="C32" s="2">
        <v>0.03</v>
      </c>
      <c r="D32" t="str">
        <f>"UL"</f>
        <v>UL</v>
      </c>
      <c r="E32">
        <v>904767803</v>
      </c>
      <c r="F32" t="str">
        <f>"Unilever PLC"</f>
        <v>Unilever PLC</v>
      </c>
      <c r="G32" s="3">
        <v>1076</v>
      </c>
      <c r="H32">
        <v>61.58</v>
      </c>
      <c r="I32" s="3">
        <v>66258.73</v>
      </c>
      <c r="J32" s="3">
        <v>2471.87</v>
      </c>
      <c r="K32" s="3">
        <v>7497</v>
      </c>
      <c r="L32" s="2">
        <v>3.73E-2</v>
      </c>
      <c r="M32" s="2">
        <v>3.9600000000000003E-2</v>
      </c>
    </row>
    <row r="33" spans="1:13" x14ac:dyDescent="0.25">
      <c r="A33" s="1">
        <v>46132</v>
      </c>
      <c r="B33" t="str">
        <f t="shared" si="0"/>
        <v>*Oregon Dividend Strategy (*QDGR)</v>
      </c>
      <c r="C33" s="2">
        <v>1.9300000000000001E-2</v>
      </c>
      <c r="D33" t="str">
        <f>"UNP"</f>
        <v>UNP</v>
      </c>
      <c r="E33">
        <v>907818108</v>
      </c>
      <c r="F33" t="str">
        <f>"Union Pacific"</f>
        <v>Union Pacific</v>
      </c>
      <c r="G33">
        <v>159</v>
      </c>
      <c r="H33">
        <v>205.79</v>
      </c>
      <c r="I33" s="3">
        <v>32721.08</v>
      </c>
      <c r="J33">
        <v>877.68</v>
      </c>
      <c r="K33" s="3">
        <v>2550.36</v>
      </c>
      <c r="L33" s="2">
        <v>2.6800000000000001E-2</v>
      </c>
      <c r="M33" s="2">
        <v>2.1899999999999999E-2</v>
      </c>
    </row>
    <row r="34" spans="1:13" x14ac:dyDescent="0.25">
      <c r="A34" s="1">
        <v>46132</v>
      </c>
      <c r="B34" t="str">
        <f t="shared" si="0"/>
        <v>*Oregon Dividend Strategy (*QDGR)</v>
      </c>
      <c r="C34" s="2">
        <v>3.0099999999999998E-2</v>
      </c>
      <c r="D34" t="str">
        <f>"UPS"</f>
        <v>UPS</v>
      </c>
      <c r="E34">
        <v>911312106</v>
      </c>
      <c r="F34" t="str">
        <f>"United Parcel Service"</f>
        <v>United Parcel Service</v>
      </c>
      <c r="G34">
        <v>584</v>
      </c>
      <c r="H34">
        <v>115.82</v>
      </c>
      <c r="I34" s="3">
        <v>67638.09</v>
      </c>
      <c r="J34" s="3">
        <v>3831.04</v>
      </c>
      <c r="K34" s="3">
        <v>10605.93</v>
      </c>
      <c r="L34" s="2">
        <v>5.6599999999999998E-2</v>
      </c>
      <c r="M34" s="2">
        <v>6.1199999999999997E-2</v>
      </c>
    </row>
    <row r="35" spans="1:13" x14ac:dyDescent="0.25">
      <c r="A35" s="1">
        <v>46132</v>
      </c>
      <c r="B35" t="str">
        <f t="shared" si="0"/>
        <v>*Oregon Dividend Strategy (*QDGR)</v>
      </c>
      <c r="C35" s="2">
        <v>1.6500000000000001E-2</v>
      </c>
      <c r="D35" t="str">
        <f>"VZ"</f>
        <v>VZ</v>
      </c>
      <c r="E35" t="str">
        <f>"92343V104"</f>
        <v>92343V104</v>
      </c>
      <c r="F35" t="str">
        <f>"Verizon"</f>
        <v>Verizon</v>
      </c>
      <c r="G35">
        <v>736</v>
      </c>
      <c r="H35">
        <v>49.05</v>
      </c>
      <c r="I35" s="3">
        <v>36101.46</v>
      </c>
      <c r="J35" s="3">
        <v>2082.88</v>
      </c>
      <c r="K35" s="3">
        <v>18334</v>
      </c>
      <c r="L35" s="2">
        <v>5.7700000000000001E-2</v>
      </c>
      <c r="M35" s="2">
        <v>6.0900000000000003E-2</v>
      </c>
    </row>
    <row r="36" spans="1:13" x14ac:dyDescent="0.25">
      <c r="A36" s="1">
        <v>46132</v>
      </c>
      <c r="B36" t="str">
        <f t="shared" si="0"/>
        <v>*Oregon Dividend Strategy (*QDGR)</v>
      </c>
      <c r="C36" s="2">
        <v>8.6499999999999994E-2</v>
      </c>
      <c r="D36" t="str">
        <f>"CASH"</f>
        <v>CASH</v>
      </c>
      <c r="E36" t="str">
        <f>""</f>
        <v/>
      </c>
      <c r="F36" t="str">
        <f>"Cash"</f>
        <v>Cash</v>
      </c>
      <c r="G36" t="str">
        <f>""</f>
        <v/>
      </c>
      <c r="H36" t="str">
        <f>""</f>
        <v/>
      </c>
      <c r="I36" s="3">
        <v>179706.78</v>
      </c>
      <c r="J36" s="3">
        <v>1797.07</v>
      </c>
      <c r="K36">
        <v>0</v>
      </c>
      <c r="L36" s="2">
        <v>0.01</v>
      </c>
      <c r="M36" s="2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882D-8882-463B-AB95-C890E30D7664}">
  <dimension ref="A1:M45"/>
  <sheetViews>
    <sheetView zoomScale="85" zoomScaleNormal="85" workbookViewId="0"/>
  </sheetViews>
  <sheetFormatPr defaultRowHeight="15" x14ac:dyDescent="0.25"/>
  <cols>
    <col min="1" max="1" width="9.7109375" bestFit="1" customWidth="1"/>
    <col min="2" max="2" width="34.85546875" bestFit="1" customWidth="1"/>
    <col min="3" max="3" width="7.140625" bestFit="1" customWidth="1"/>
    <col min="4" max="4" width="7.42578125" bestFit="1" customWidth="1"/>
    <col min="5" max="5" width="10.7109375" bestFit="1" customWidth="1"/>
    <col min="6" max="6" width="38.7109375" bestFit="1" customWidth="1"/>
    <col min="7" max="7" width="8.42578125" bestFit="1" customWidth="1"/>
    <col min="8" max="8" width="8.85546875" bestFit="1" customWidth="1"/>
    <col min="9" max="9" width="10.28515625" bestFit="1" customWidth="1"/>
    <col min="10" max="10" width="14.42578125" bestFit="1" customWidth="1"/>
    <col min="11" max="11" width="18.140625" bestFit="1" customWidth="1"/>
    <col min="12" max="12" width="11.7109375" bestFit="1" customWidth="1"/>
    <col min="13" max="13" width="12.140625" bestFit="1" customWidth="1"/>
  </cols>
  <sheetData>
    <row r="1" spans="1:13" x14ac:dyDescent="0.25">
      <c r="A1" t="str">
        <f>"As of Date"</f>
        <v>As of Date</v>
      </c>
      <c r="B1" t="str">
        <f>"Data For"</f>
        <v>Data For</v>
      </c>
      <c r="C1" t="str">
        <f>"Weight"</f>
        <v>Weight</v>
      </c>
      <c r="D1" t="str">
        <f>"Symbol"</f>
        <v>Symbol</v>
      </c>
      <c r="E1" t="str">
        <f>"CUSIP"</f>
        <v>CUSIP</v>
      </c>
      <c r="F1" t="str">
        <f>"Description"</f>
        <v>Description</v>
      </c>
      <c r="G1" t="str">
        <f>"Quantity"</f>
        <v>Quantity</v>
      </c>
      <c r="H1" t="str">
        <f>"Unit Cost"</f>
        <v>Unit Cost</v>
      </c>
      <c r="I1" t="str">
        <f>"Cost Basis"</f>
        <v>Cost Basis</v>
      </c>
      <c r="J1" t="str">
        <f>"Annual Income"</f>
        <v>Annual Income</v>
      </c>
      <c r="K1" t="str">
        <f>"Cumulative Income"</f>
        <v>Cumulative Income</v>
      </c>
      <c r="L1" t="str">
        <f>"Yield at Cost"</f>
        <v>Yield at Cost</v>
      </c>
      <c r="M1" t="str">
        <f>"Current Yield"</f>
        <v>Current Yield</v>
      </c>
    </row>
    <row r="2" spans="1:13" x14ac:dyDescent="0.25">
      <c r="A2" s="1">
        <v>46132</v>
      </c>
      <c r="B2" t="s">
        <v>0</v>
      </c>
      <c r="C2" s="2">
        <v>2.52E-2</v>
      </c>
      <c r="D2" t="str">
        <f>"AMGN"</f>
        <v>AMGN</v>
      </c>
      <c r="E2" t="str">
        <f>"031162100"</f>
        <v>031162100</v>
      </c>
      <c r="F2" t="str">
        <f>"Amgen"</f>
        <v>Amgen</v>
      </c>
      <c r="G2">
        <v>147</v>
      </c>
      <c r="H2">
        <v>148.05000000000001</v>
      </c>
      <c r="I2" s="3">
        <v>21763.87</v>
      </c>
      <c r="J2" s="3">
        <v>1481.76</v>
      </c>
      <c r="K2" s="3">
        <v>13826.56</v>
      </c>
      <c r="L2" s="2">
        <v>6.8099999999999994E-2</v>
      </c>
      <c r="M2" s="2">
        <v>2.8799999999999999E-2</v>
      </c>
    </row>
    <row r="3" spans="1:13" x14ac:dyDescent="0.25">
      <c r="A3" s="1">
        <v>46132</v>
      </c>
      <c r="B3" t="s">
        <v>0</v>
      </c>
      <c r="C3" s="2">
        <v>2.3800000000000002E-2</v>
      </c>
      <c r="D3" t="str">
        <f>"ASML"</f>
        <v>ASML</v>
      </c>
      <c r="E3" t="str">
        <f>"N07059210"</f>
        <v>N07059210</v>
      </c>
      <c r="F3" t="str">
        <f>"ASML Holding"</f>
        <v>ASML Holding</v>
      </c>
      <c r="G3">
        <v>33</v>
      </c>
      <c r="H3">
        <v>721.12</v>
      </c>
      <c r="I3" s="3">
        <v>23797.07</v>
      </c>
      <c r="J3">
        <v>246.68</v>
      </c>
      <c r="K3">
        <v>698.69</v>
      </c>
      <c r="L3" s="2">
        <v>1.04E-2</v>
      </c>
      <c r="M3" s="2">
        <v>5.1000000000000004E-3</v>
      </c>
    </row>
    <row r="4" spans="1:13" x14ac:dyDescent="0.25">
      <c r="A4" s="1">
        <v>46132</v>
      </c>
      <c r="B4" t="s">
        <v>0</v>
      </c>
      <c r="C4" s="2">
        <v>1.7999999999999999E-2</v>
      </c>
      <c r="D4" t="str">
        <f>"BKH"</f>
        <v>BKH</v>
      </c>
      <c r="E4" t="str">
        <f>"092113109"</f>
        <v>092113109</v>
      </c>
      <c r="F4" t="str">
        <f>"Black Hills"</f>
        <v>Black Hills</v>
      </c>
      <c r="G4">
        <v>488</v>
      </c>
      <c r="H4">
        <v>59.46</v>
      </c>
      <c r="I4" s="3">
        <v>29014.77</v>
      </c>
      <c r="J4" s="3">
        <v>1372.26</v>
      </c>
      <c r="K4" s="3">
        <v>3461.55</v>
      </c>
      <c r="L4" s="2">
        <v>4.7300000000000002E-2</v>
      </c>
      <c r="M4" s="2">
        <v>3.7199999999999997E-2</v>
      </c>
    </row>
    <row r="5" spans="1:13" x14ac:dyDescent="0.25">
      <c r="A5" s="1">
        <v>46132</v>
      </c>
      <c r="B5" t="s">
        <v>0</v>
      </c>
      <c r="C5" s="2">
        <v>9.3600000000000003E-2</v>
      </c>
      <c r="D5" t="str">
        <f>"CGGR"</f>
        <v>CGGR</v>
      </c>
      <c r="E5" t="str">
        <f>"14020G101"</f>
        <v>14020G101</v>
      </c>
      <c r="F5" t="str">
        <f>"Capital Group Growth ETF"</f>
        <v>Capital Group Growth ETF</v>
      </c>
      <c r="G5" s="3">
        <v>4300</v>
      </c>
      <c r="H5">
        <v>42.53</v>
      </c>
      <c r="I5" s="3">
        <v>182863.09</v>
      </c>
      <c r="J5">
        <v>182.17</v>
      </c>
      <c r="K5">
        <v>182.17</v>
      </c>
      <c r="L5" s="2">
        <v>1E-3</v>
      </c>
      <c r="M5" s="2">
        <v>1E-3</v>
      </c>
    </row>
    <row r="6" spans="1:13" x14ac:dyDescent="0.25">
      <c r="A6" s="1">
        <v>46132</v>
      </c>
      <c r="B6" t="s">
        <v>0</v>
      </c>
      <c r="C6" s="2">
        <v>1.8100000000000002E-2</v>
      </c>
      <c r="D6" t="str">
        <f>"CVX"</f>
        <v>CVX</v>
      </c>
      <c r="E6">
        <v>166764100</v>
      </c>
      <c r="F6" t="str">
        <f>"Chevron"</f>
        <v>Chevron</v>
      </c>
      <c r="G6">
        <v>202</v>
      </c>
      <c r="H6">
        <v>74.25</v>
      </c>
      <c r="I6" s="3">
        <v>14999.09</v>
      </c>
      <c r="J6" s="3">
        <v>1438.24</v>
      </c>
      <c r="K6" s="3">
        <v>23630.240000000002</v>
      </c>
      <c r="L6" s="2">
        <v>9.5899999999999999E-2</v>
      </c>
      <c r="M6" s="2">
        <v>3.8899999999999997E-2</v>
      </c>
    </row>
    <row r="7" spans="1:13" x14ac:dyDescent="0.25">
      <c r="A7" s="1">
        <v>46132</v>
      </c>
      <c r="B7" t="s">
        <v>0</v>
      </c>
      <c r="C7" s="2">
        <v>1.8800000000000001E-2</v>
      </c>
      <c r="D7" t="str">
        <f>"CSCO"</f>
        <v>CSCO</v>
      </c>
      <c r="E7" t="str">
        <f>"17275R102"</f>
        <v>17275R102</v>
      </c>
      <c r="F7" t="str">
        <f>"Cisco Systems"</f>
        <v>Cisco Systems</v>
      </c>
      <c r="G7">
        <v>439</v>
      </c>
      <c r="H7">
        <v>15.5</v>
      </c>
      <c r="I7" s="3">
        <v>6803.24</v>
      </c>
      <c r="J7">
        <v>737.52</v>
      </c>
      <c r="K7" s="3">
        <v>18879.11</v>
      </c>
      <c r="L7" s="2">
        <v>0.1084</v>
      </c>
      <c r="M7" s="2">
        <v>1.9199999999999998E-2</v>
      </c>
    </row>
    <row r="8" spans="1:13" x14ac:dyDescent="0.25">
      <c r="A8" s="1">
        <v>46132</v>
      </c>
      <c r="B8" t="s">
        <v>0</v>
      </c>
      <c r="C8" s="2">
        <v>8.6999999999999994E-3</v>
      </c>
      <c r="D8" t="str">
        <f>"CLX"</f>
        <v>CLX</v>
      </c>
      <c r="E8">
        <v>189054109</v>
      </c>
      <c r="F8" t="str">
        <f>"Clorox"</f>
        <v>Clorox</v>
      </c>
      <c r="G8">
        <v>174</v>
      </c>
      <c r="H8">
        <v>100.4</v>
      </c>
      <c r="I8" s="3">
        <v>17469.25</v>
      </c>
      <c r="J8">
        <v>863.04</v>
      </c>
      <c r="K8">
        <v>215.76</v>
      </c>
      <c r="L8" s="2">
        <v>4.9399999999999999E-2</v>
      </c>
      <c r="M8" s="2">
        <v>4.8500000000000001E-2</v>
      </c>
    </row>
    <row r="9" spans="1:13" x14ac:dyDescent="0.25">
      <c r="A9" s="1">
        <v>46132</v>
      </c>
      <c r="B9" t="s">
        <v>0</v>
      </c>
      <c r="C9" s="2">
        <v>1.83E-2</v>
      </c>
      <c r="D9" t="str">
        <f>"CME"</f>
        <v>CME</v>
      </c>
      <c r="E9" t="str">
        <f>"12572Q105"</f>
        <v>12572Q105</v>
      </c>
      <c r="F9" t="str">
        <f>"CME Group"</f>
        <v>CME Group</v>
      </c>
      <c r="G9">
        <v>130</v>
      </c>
      <c r="H9">
        <v>196.76</v>
      </c>
      <c r="I9" s="3">
        <v>25578.71</v>
      </c>
      <c r="J9" s="3">
        <v>1456</v>
      </c>
      <c r="K9" s="3">
        <v>4001.95</v>
      </c>
      <c r="L9" s="2">
        <v>5.6899999999999999E-2</v>
      </c>
      <c r="M9" s="2">
        <v>3.9E-2</v>
      </c>
    </row>
    <row r="10" spans="1:13" x14ac:dyDescent="0.25">
      <c r="A10" s="1">
        <v>46132</v>
      </c>
      <c r="B10" t="s">
        <v>0</v>
      </c>
      <c r="C10" s="2">
        <v>1.2500000000000001E-2</v>
      </c>
      <c r="D10" t="str">
        <f>"KOF"</f>
        <v>KOF</v>
      </c>
      <c r="E10">
        <v>191241108</v>
      </c>
      <c r="F10" t="str">
        <f>"Coca-Cola Femsa"</f>
        <v>Coca-Cola Femsa</v>
      </c>
      <c r="G10">
        <v>250</v>
      </c>
      <c r="H10">
        <v>46.07</v>
      </c>
      <c r="I10" s="3">
        <v>11517.3</v>
      </c>
      <c r="J10">
        <v>912.47</v>
      </c>
      <c r="K10" s="3">
        <v>8157.66</v>
      </c>
      <c r="L10" s="2">
        <v>7.9200000000000007E-2</v>
      </c>
      <c r="M10" s="2">
        <v>3.5700000000000003E-2</v>
      </c>
    </row>
    <row r="11" spans="1:13" x14ac:dyDescent="0.25">
      <c r="A11" s="1">
        <v>46132</v>
      </c>
      <c r="B11" t="s">
        <v>0</v>
      </c>
      <c r="C11" s="2">
        <v>1.9400000000000001E-2</v>
      </c>
      <c r="D11" t="str">
        <f>"CFR"</f>
        <v>CFR</v>
      </c>
      <c r="E11">
        <v>229899109</v>
      </c>
      <c r="F11" t="str">
        <f>"Cullen/Frost Bankers"</f>
        <v>Cullen/Frost Bankers</v>
      </c>
      <c r="G11">
        <v>275</v>
      </c>
      <c r="H11">
        <v>70.02</v>
      </c>
      <c r="I11" s="3">
        <v>19255.41</v>
      </c>
      <c r="J11" s="3">
        <v>1100</v>
      </c>
      <c r="K11" s="3">
        <v>7500.1</v>
      </c>
      <c r="L11" s="2">
        <v>5.7099999999999998E-2</v>
      </c>
      <c r="M11" s="2">
        <v>2.7699999999999999E-2</v>
      </c>
    </row>
    <row r="12" spans="1:13" x14ac:dyDescent="0.25">
      <c r="A12" s="1">
        <v>46132</v>
      </c>
      <c r="B12" t="s">
        <v>0</v>
      </c>
      <c r="C12" s="2">
        <v>8.0000000000000002E-3</v>
      </c>
      <c r="D12" t="str">
        <f>"DVN"</f>
        <v>DVN</v>
      </c>
      <c r="E12" t="str">
        <f>"25179M103"</f>
        <v>25179M103</v>
      </c>
      <c r="F12" t="str">
        <f>"Devon Energy"</f>
        <v>Devon Energy</v>
      </c>
      <c r="G12">
        <v>362</v>
      </c>
      <c r="H12">
        <v>32.11</v>
      </c>
      <c r="I12" s="3">
        <v>11623.35</v>
      </c>
      <c r="J12">
        <v>347.52</v>
      </c>
      <c r="K12" s="3">
        <v>2316.36</v>
      </c>
      <c r="L12" s="2">
        <v>2.9899999999999999E-2</v>
      </c>
      <c r="M12" s="2">
        <v>2.1399999999999999E-2</v>
      </c>
    </row>
    <row r="13" spans="1:13" x14ac:dyDescent="0.25">
      <c r="A13" s="1">
        <v>46132</v>
      </c>
      <c r="B13" t="s">
        <v>0</v>
      </c>
      <c r="C13" s="2">
        <v>9.7999999999999997E-3</v>
      </c>
      <c r="D13" t="str">
        <f>"ETR"</f>
        <v>ETR</v>
      </c>
      <c r="E13" t="str">
        <f>"29364G103"</f>
        <v>29364G103</v>
      </c>
      <c r="F13" t="str">
        <f>"Entergy"</f>
        <v>Entergy</v>
      </c>
      <c r="G13">
        <v>177</v>
      </c>
      <c r="H13">
        <v>45.01</v>
      </c>
      <c r="I13" s="3">
        <v>7966.77</v>
      </c>
      <c r="J13">
        <v>453.12</v>
      </c>
      <c r="K13" s="3">
        <v>5272.34</v>
      </c>
      <c r="L13" s="2">
        <v>5.6899999999999999E-2</v>
      </c>
      <c r="M13" s="2">
        <v>2.2499999999999999E-2</v>
      </c>
    </row>
    <row r="14" spans="1:13" x14ac:dyDescent="0.25">
      <c r="A14" s="1">
        <v>46132</v>
      </c>
      <c r="B14" t="s">
        <v>0</v>
      </c>
      <c r="C14" s="2">
        <v>1.6199999999999999E-2</v>
      </c>
      <c r="D14" t="str">
        <f>"XOM"</f>
        <v>XOM</v>
      </c>
      <c r="E14" t="str">
        <f>"30231G102"</f>
        <v>30231G102</v>
      </c>
      <c r="F14" t="str">
        <f>"Exxon Mobil"</f>
        <v>Exxon Mobil</v>
      </c>
      <c r="G14">
        <v>224</v>
      </c>
      <c r="H14">
        <v>34.32</v>
      </c>
      <c r="I14" s="3">
        <v>7687.68</v>
      </c>
      <c r="J14">
        <v>922.88</v>
      </c>
      <c r="K14" s="3">
        <v>18172.669999999998</v>
      </c>
      <c r="L14" s="2">
        <v>0.12</v>
      </c>
      <c r="M14" s="2">
        <v>2.7900000000000001E-2</v>
      </c>
    </row>
    <row r="15" spans="1:13" x14ac:dyDescent="0.25">
      <c r="A15" s="1">
        <v>46132</v>
      </c>
      <c r="B15" t="s">
        <v>0</v>
      </c>
      <c r="C15" s="2">
        <v>1.3599999999999999E-2</v>
      </c>
      <c r="D15" t="str">
        <f>"GD"</f>
        <v>GD</v>
      </c>
      <c r="E15">
        <v>369550108</v>
      </c>
      <c r="F15" t="str">
        <f>"General Dynamics"</f>
        <v>General Dynamics</v>
      </c>
      <c r="G15">
        <v>84</v>
      </c>
      <c r="H15">
        <v>165.06</v>
      </c>
      <c r="I15" s="3">
        <v>13865.42</v>
      </c>
      <c r="J15">
        <v>534.24</v>
      </c>
      <c r="K15" s="3">
        <v>5921.35</v>
      </c>
      <c r="L15" s="2">
        <v>3.85E-2</v>
      </c>
      <c r="M15" s="2">
        <v>1.9099999999999999E-2</v>
      </c>
    </row>
    <row r="16" spans="1:13" x14ac:dyDescent="0.25">
      <c r="A16" s="1">
        <v>46132</v>
      </c>
      <c r="B16" t="s">
        <v>0</v>
      </c>
      <c r="C16" s="2">
        <v>5.0000000000000001E-3</v>
      </c>
      <c r="D16" t="str">
        <f>"HD"</f>
        <v>HD</v>
      </c>
      <c r="E16">
        <v>437076102</v>
      </c>
      <c r="F16" t="str">
        <f>"Home Depot"</f>
        <v>Home Depot</v>
      </c>
      <c r="G16">
        <v>29</v>
      </c>
      <c r="H16">
        <v>291.48</v>
      </c>
      <c r="I16" s="3">
        <v>8452.7800000000007</v>
      </c>
      <c r="J16">
        <v>270.27999999999997</v>
      </c>
      <c r="K16" s="3">
        <v>2236.14</v>
      </c>
      <c r="L16" s="2">
        <v>3.2000000000000001E-2</v>
      </c>
      <c r="M16" s="2">
        <v>2.6599999999999999E-2</v>
      </c>
    </row>
    <row r="17" spans="1:13" x14ac:dyDescent="0.25">
      <c r="A17" s="1">
        <v>46132</v>
      </c>
      <c r="B17" t="s">
        <v>0</v>
      </c>
      <c r="C17" s="2">
        <v>5.3499999999999999E-2</v>
      </c>
      <c r="D17" t="str">
        <f>"PXF"</f>
        <v>PXF</v>
      </c>
      <c r="E17" t="str">
        <f>"46138E743"</f>
        <v>46138E743</v>
      </c>
      <c r="F17" t="str">
        <f>"Invesco RAFI Developed Markets ex-US ETF"</f>
        <v>Invesco RAFI Developed Markets ex-US ETF</v>
      </c>
      <c r="G17" s="3">
        <v>1475</v>
      </c>
      <c r="H17">
        <v>62.12</v>
      </c>
      <c r="I17" s="3">
        <v>91627</v>
      </c>
      <c r="J17" s="3">
        <v>3553.75</v>
      </c>
      <c r="K17" s="3">
        <v>1863.57</v>
      </c>
      <c r="L17" s="2">
        <v>3.8800000000000001E-2</v>
      </c>
      <c r="M17" s="2">
        <v>3.2500000000000001E-2</v>
      </c>
    </row>
    <row r="18" spans="1:13" x14ac:dyDescent="0.25">
      <c r="A18" s="1">
        <v>46132</v>
      </c>
      <c r="B18" t="s">
        <v>0</v>
      </c>
      <c r="C18" s="2">
        <v>3.7900000000000003E-2</v>
      </c>
      <c r="D18" t="str">
        <f>"PXH"</f>
        <v>PXH</v>
      </c>
      <c r="E18" t="str">
        <f>"46138E727"</f>
        <v>46138E727</v>
      </c>
      <c r="F18" t="str">
        <f>"Invesco RAFI Emerging Markets ETF"</f>
        <v>Invesco RAFI Emerging Markets ETF</v>
      </c>
      <c r="G18" s="3">
        <v>2706</v>
      </c>
      <c r="H18">
        <v>25.84</v>
      </c>
      <c r="I18" s="3">
        <v>69917.36</v>
      </c>
      <c r="J18" s="3">
        <v>2740.12</v>
      </c>
      <c r="K18" s="3">
        <v>1270.6300000000001</v>
      </c>
      <c r="L18" s="2">
        <v>3.9199999999999999E-2</v>
      </c>
      <c r="M18" s="2">
        <v>3.5299999999999998E-2</v>
      </c>
    </row>
    <row r="19" spans="1:13" x14ac:dyDescent="0.25">
      <c r="A19" s="1">
        <v>46132</v>
      </c>
      <c r="B19" t="s">
        <v>0</v>
      </c>
      <c r="C19" s="2">
        <v>0.1038</v>
      </c>
      <c r="D19" t="str">
        <f>"PRFZ"</f>
        <v>PRFZ</v>
      </c>
      <c r="E19" t="str">
        <f>"46137V597"</f>
        <v>46137V597</v>
      </c>
      <c r="F19" t="str">
        <f>"Invesco RAFI US 1500 Small-Mid ETF"</f>
        <v>Invesco RAFI US 1500 Small-Mid ETF</v>
      </c>
      <c r="G19" s="3">
        <v>4190</v>
      </c>
      <c r="H19">
        <v>43.7</v>
      </c>
      <c r="I19" s="3">
        <v>183103</v>
      </c>
      <c r="J19" s="3">
        <v>1828.14</v>
      </c>
      <c r="K19">
        <v>905.54</v>
      </c>
      <c r="L19" s="2">
        <v>0.01</v>
      </c>
      <c r="M19" s="2">
        <v>8.6E-3</v>
      </c>
    </row>
    <row r="20" spans="1:13" x14ac:dyDescent="0.25">
      <c r="A20" s="1">
        <v>46132</v>
      </c>
      <c r="B20" t="s">
        <v>0</v>
      </c>
      <c r="C20" s="2">
        <v>9.7600000000000006E-2</v>
      </c>
      <c r="D20" t="str">
        <f>"RSP"</f>
        <v>RSP</v>
      </c>
      <c r="E20" t="str">
        <f>"46137V357"</f>
        <v>46137V357</v>
      </c>
      <c r="F20" t="str">
        <f>"Invesco S&amp;P 500® Equal Weight ETF"</f>
        <v>Invesco S&amp;P 500® Equal Weight ETF</v>
      </c>
      <c r="G20">
        <v>980</v>
      </c>
      <c r="H20">
        <v>185.37</v>
      </c>
      <c r="I20" s="3">
        <v>181658.48</v>
      </c>
      <c r="J20" s="3">
        <v>3054.6</v>
      </c>
      <c r="K20" s="3">
        <v>1543.7</v>
      </c>
      <c r="L20" s="2">
        <v>1.6799999999999999E-2</v>
      </c>
      <c r="M20" s="2">
        <v>1.5299999999999999E-2</v>
      </c>
    </row>
    <row r="21" spans="1:13" x14ac:dyDescent="0.25">
      <c r="A21" s="1">
        <v>46132</v>
      </c>
      <c r="B21" t="s">
        <v>0</v>
      </c>
      <c r="C21" s="2">
        <v>2.7300000000000001E-2</v>
      </c>
      <c r="D21" t="str">
        <f>"EWZ"</f>
        <v>EWZ</v>
      </c>
      <c r="E21">
        <v>464286400</v>
      </c>
      <c r="F21" t="str">
        <f>"IShares Brazil ETF"</f>
        <v>IShares Brazil ETF</v>
      </c>
      <c r="G21" s="3">
        <v>1350</v>
      </c>
      <c r="H21">
        <v>33.29</v>
      </c>
      <c r="I21" s="3">
        <v>44941.37</v>
      </c>
      <c r="J21" s="3">
        <v>2225.0100000000002</v>
      </c>
      <c r="K21" s="3">
        <v>1529.51</v>
      </c>
      <c r="L21" s="2">
        <v>4.9500000000000002E-2</v>
      </c>
      <c r="M21" s="2">
        <v>3.9899999999999998E-2</v>
      </c>
    </row>
    <row r="22" spans="1:13" x14ac:dyDescent="0.25">
      <c r="A22" s="1">
        <v>46132</v>
      </c>
      <c r="B22" t="s">
        <v>0</v>
      </c>
      <c r="C22" s="2">
        <v>1.78E-2</v>
      </c>
      <c r="D22" t="str">
        <f>"JNJ"</f>
        <v>JNJ</v>
      </c>
      <c r="E22">
        <v>478160104</v>
      </c>
      <c r="F22" t="str">
        <f>"Johnson &amp; Johnson"</f>
        <v>Johnson &amp; Johnson</v>
      </c>
      <c r="G22">
        <v>158</v>
      </c>
      <c r="H22">
        <v>61.02</v>
      </c>
      <c r="I22" s="3">
        <v>9640.58</v>
      </c>
      <c r="J22">
        <v>846.88</v>
      </c>
      <c r="K22" s="3">
        <v>20714.91</v>
      </c>
      <c r="L22" s="2">
        <v>8.7800000000000003E-2</v>
      </c>
      <c r="M22" s="2">
        <v>2.3199999999999998E-2</v>
      </c>
    </row>
    <row r="23" spans="1:13" x14ac:dyDescent="0.25">
      <c r="A23" s="1">
        <v>46132</v>
      </c>
      <c r="B23" t="s">
        <v>0</v>
      </c>
      <c r="C23" s="2">
        <v>1.5299999999999999E-2</v>
      </c>
      <c r="D23" t="str">
        <f>"JPM"</f>
        <v>JPM</v>
      </c>
      <c r="E23" t="str">
        <f>"46625H100"</f>
        <v>46625H100</v>
      </c>
      <c r="F23" t="str">
        <f>"JPMorgan Chase"</f>
        <v>JPMorgan Chase</v>
      </c>
      <c r="G23">
        <v>99</v>
      </c>
      <c r="H23">
        <v>37.340000000000003</v>
      </c>
      <c r="I23" s="3">
        <v>3696.66</v>
      </c>
      <c r="J23">
        <v>594</v>
      </c>
      <c r="K23" s="3">
        <v>15051.7</v>
      </c>
      <c r="L23" s="2">
        <v>0.16070000000000001</v>
      </c>
      <c r="M23" s="2">
        <v>1.89E-2</v>
      </c>
    </row>
    <row r="24" spans="1:13" x14ac:dyDescent="0.25">
      <c r="A24" s="1">
        <v>46132</v>
      </c>
      <c r="B24" t="s">
        <v>0</v>
      </c>
      <c r="C24" s="2">
        <v>1.2800000000000001E-2</v>
      </c>
      <c r="D24" t="str">
        <f>"MKC"</f>
        <v>MKC</v>
      </c>
      <c r="E24">
        <v>579780206</v>
      </c>
      <c r="F24" t="str">
        <f>"McCormick &amp; Co."</f>
        <v>McCormick &amp; Co.</v>
      </c>
      <c r="G24">
        <v>495</v>
      </c>
      <c r="H24">
        <v>67.34</v>
      </c>
      <c r="I24" s="3">
        <v>33333.040000000001</v>
      </c>
      <c r="J24">
        <v>950.4</v>
      </c>
      <c r="K24">
        <v>0</v>
      </c>
      <c r="L24" s="2">
        <v>2.8500000000000001E-2</v>
      </c>
      <c r="M24" s="2">
        <v>3.6299999999999999E-2</v>
      </c>
    </row>
    <row r="25" spans="1:13" x14ac:dyDescent="0.25">
      <c r="A25" s="1">
        <v>46132</v>
      </c>
      <c r="B25" t="s">
        <v>0</v>
      </c>
      <c r="C25" s="2">
        <v>1.04E-2</v>
      </c>
      <c r="D25" t="str">
        <f>"MDT"</f>
        <v>MDT</v>
      </c>
      <c r="E25" t="str">
        <f>"G5960L103"</f>
        <v>G5960L103</v>
      </c>
      <c r="F25" t="str">
        <f>"Medtronic"</f>
        <v>Medtronic</v>
      </c>
      <c r="G25">
        <v>250</v>
      </c>
      <c r="H25">
        <v>86.99</v>
      </c>
      <c r="I25" s="3">
        <v>21747.46</v>
      </c>
      <c r="J25">
        <v>710</v>
      </c>
      <c r="K25" s="3">
        <v>6960.14</v>
      </c>
      <c r="L25" s="2">
        <v>3.2599999999999997E-2</v>
      </c>
      <c r="M25" s="2">
        <v>3.3399999999999999E-2</v>
      </c>
    </row>
    <row r="26" spans="1:13" x14ac:dyDescent="0.25">
      <c r="A26" s="1">
        <v>46132</v>
      </c>
      <c r="B26" t="s">
        <v>0</v>
      </c>
      <c r="C26" s="2">
        <v>2.1499999999999998E-2</v>
      </c>
      <c r="D26" t="str">
        <f>"MSFT"</f>
        <v>MSFT</v>
      </c>
      <c r="E26">
        <v>594918104</v>
      </c>
      <c r="F26" t="str">
        <f>"Microsoft"</f>
        <v>Microsoft</v>
      </c>
      <c r="G26">
        <v>105</v>
      </c>
      <c r="H26">
        <v>28</v>
      </c>
      <c r="I26" s="3">
        <v>2939.55</v>
      </c>
      <c r="J26">
        <v>382.2</v>
      </c>
      <c r="K26" s="3">
        <v>10522.38</v>
      </c>
      <c r="L26" s="2">
        <v>0.13</v>
      </c>
      <c r="M26" s="2">
        <v>8.6999999999999994E-3</v>
      </c>
    </row>
    <row r="27" spans="1:13" x14ac:dyDescent="0.25">
      <c r="A27" s="1">
        <v>46132</v>
      </c>
      <c r="B27" t="s">
        <v>0</v>
      </c>
      <c r="C27" s="2">
        <v>6.1999999999999998E-3</v>
      </c>
      <c r="D27" t="str">
        <f>"NKE"</f>
        <v>NKE</v>
      </c>
      <c r="E27">
        <v>654106103</v>
      </c>
      <c r="F27" t="str">
        <f>"Nike"</f>
        <v>Nike</v>
      </c>
      <c r="G27">
        <v>275</v>
      </c>
      <c r="H27">
        <v>63.19</v>
      </c>
      <c r="I27" s="3">
        <v>17376.150000000001</v>
      </c>
      <c r="J27">
        <v>451</v>
      </c>
      <c r="K27">
        <v>112.75</v>
      </c>
      <c r="L27" s="2">
        <v>2.5999999999999999E-2</v>
      </c>
      <c r="M27" s="2">
        <v>3.5299999999999998E-2</v>
      </c>
    </row>
    <row r="28" spans="1:13" x14ac:dyDescent="0.25">
      <c r="A28" s="1">
        <v>46132</v>
      </c>
      <c r="B28" t="s">
        <v>0</v>
      </c>
      <c r="C28" s="2">
        <v>9.4000000000000004E-3</v>
      </c>
      <c r="D28" t="str">
        <f>"NVO"</f>
        <v>NVO</v>
      </c>
      <c r="E28">
        <v>670100205</v>
      </c>
      <c r="F28" t="str">
        <f>"Novo Nordisk"</f>
        <v>Novo Nordisk</v>
      </c>
      <c r="G28">
        <v>475</v>
      </c>
      <c r="H28">
        <v>52.05</v>
      </c>
      <c r="I28" s="3">
        <v>24721.38</v>
      </c>
      <c r="J28">
        <v>610.49</v>
      </c>
      <c r="K28">
        <v>578.25</v>
      </c>
      <c r="L28" s="2">
        <v>2.47E-2</v>
      </c>
      <c r="M28" s="2">
        <v>3.1800000000000002E-2</v>
      </c>
    </row>
    <row r="29" spans="1:13" x14ac:dyDescent="0.25">
      <c r="A29" s="1">
        <v>46132</v>
      </c>
      <c r="B29" t="s">
        <v>0</v>
      </c>
      <c r="C29" s="2">
        <v>1.01E-2</v>
      </c>
      <c r="D29" t="str">
        <f>"PEP"</f>
        <v>PEP</v>
      </c>
      <c r="E29">
        <v>713448108</v>
      </c>
      <c r="F29" t="str">
        <f>"Pepsi"</f>
        <v>Pepsi</v>
      </c>
      <c r="G29">
        <v>132</v>
      </c>
      <c r="H29">
        <v>101.38</v>
      </c>
      <c r="I29" s="3">
        <v>13382.42</v>
      </c>
      <c r="J29">
        <v>751.08</v>
      </c>
      <c r="K29" s="3">
        <v>6551.49</v>
      </c>
      <c r="L29" s="2">
        <v>5.6099999999999997E-2</v>
      </c>
      <c r="M29" s="2">
        <v>3.6200000000000003E-2</v>
      </c>
    </row>
    <row r="30" spans="1:13" x14ac:dyDescent="0.25">
      <c r="A30" s="1">
        <v>46132</v>
      </c>
      <c r="B30" t="s">
        <v>0</v>
      </c>
      <c r="C30" s="2">
        <v>8.6999999999999994E-3</v>
      </c>
      <c r="D30" t="str">
        <f>"PFE"</f>
        <v>PFE</v>
      </c>
      <c r="E30">
        <v>717081103</v>
      </c>
      <c r="F30" t="str">
        <f>"Pfizer"</f>
        <v>Pfizer</v>
      </c>
      <c r="G30">
        <v>650</v>
      </c>
      <c r="H30">
        <v>24.98</v>
      </c>
      <c r="I30" s="3">
        <v>16239.6</v>
      </c>
      <c r="J30" s="3">
        <v>1118</v>
      </c>
      <c r="K30">
        <v>279.5</v>
      </c>
      <c r="L30" s="2">
        <v>6.88E-2</v>
      </c>
      <c r="M30" s="2">
        <v>6.25E-2</v>
      </c>
    </row>
    <row r="31" spans="1:13" x14ac:dyDescent="0.25">
      <c r="A31" s="1">
        <v>46132</v>
      </c>
      <c r="B31" t="s">
        <v>0</v>
      </c>
      <c r="C31" s="2">
        <v>1.06E-2</v>
      </c>
      <c r="D31" t="str">
        <f>"PSX"</f>
        <v>PSX</v>
      </c>
      <c r="E31">
        <v>718546104</v>
      </c>
      <c r="F31" t="str">
        <f>"Phillips 66"</f>
        <v>Phillips 66</v>
      </c>
      <c r="G31">
        <v>139</v>
      </c>
      <c r="H31">
        <v>93.15</v>
      </c>
      <c r="I31" s="3">
        <v>12948.23</v>
      </c>
      <c r="J31">
        <v>706.12</v>
      </c>
      <c r="K31" s="3">
        <v>4839.7</v>
      </c>
      <c r="L31" s="2">
        <v>5.45E-2</v>
      </c>
      <c r="M31" s="2">
        <v>3.2599999999999997E-2</v>
      </c>
    </row>
    <row r="32" spans="1:13" x14ac:dyDescent="0.25">
      <c r="A32" s="1">
        <v>46132</v>
      </c>
      <c r="B32" t="s">
        <v>0</v>
      </c>
      <c r="C32" s="2">
        <v>1.3100000000000001E-2</v>
      </c>
      <c r="D32" t="str">
        <f>"POR"</f>
        <v>POR</v>
      </c>
      <c r="E32">
        <v>736508847</v>
      </c>
      <c r="F32" t="str">
        <f>"Portland General Electric Co"</f>
        <v>Portland General Electric Co</v>
      </c>
      <c r="G32">
        <v>524</v>
      </c>
      <c r="H32">
        <v>41.41</v>
      </c>
      <c r="I32" s="3">
        <v>21696.54</v>
      </c>
      <c r="J32" s="3">
        <v>1100.4000000000001</v>
      </c>
      <c r="K32" s="3">
        <v>1076.78</v>
      </c>
      <c r="L32" s="2">
        <v>5.0700000000000002E-2</v>
      </c>
      <c r="M32" s="2">
        <v>4.1000000000000002E-2</v>
      </c>
    </row>
    <row r="33" spans="1:13" x14ac:dyDescent="0.25">
      <c r="A33" s="1">
        <v>46132</v>
      </c>
      <c r="B33" t="s">
        <v>0</v>
      </c>
      <c r="C33" s="2">
        <v>1.4200000000000001E-2</v>
      </c>
      <c r="D33" t="str">
        <f>"PG"</f>
        <v>PG</v>
      </c>
      <c r="E33">
        <v>742718109</v>
      </c>
      <c r="F33" t="str">
        <f>"Procter &amp; Gamble"</f>
        <v>Procter &amp; Gamble</v>
      </c>
      <c r="G33">
        <v>201</v>
      </c>
      <c r="H33">
        <v>92.82</v>
      </c>
      <c r="I33" s="3">
        <v>18656.240000000002</v>
      </c>
      <c r="J33">
        <v>875.15</v>
      </c>
      <c r="K33" s="3">
        <v>13057.81</v>
      </c>
      <c r="L33" s="2">
        <v>4.6899999999999997E-2</v>
      </c>
      <c r="M33" s="2">
        <v>3.0099999999999998E-2</v>
      </c>
    </row>
    <row r="34" spans="1:13" x14ac:dyDescent="0.25">
      <c r="A34" s="1">
        <v>46132</v>
      </c>
      <c r="B34" t="s">
        <v>0</v>
      </c>
      <c r="C34" s="2">
        <v>8.6E-3</v>
      </c>
      <c r="D34" t="str">
        <f>"O"</f>
        <v>O</v>
      </c>
      <c r="E34">
        <v>756109104</v>
      </c>
      <c r="F34" t="str">
        <f>"Realty Income"</f>
        <v>Realty Income</v>
      </c>
      <c r="G34">
        <v>272</v>
      </c>
      <c r="H34">
        <v>51.48</v>
      </c>
      <c r="I34" s="3">
        <v>14002.71</v>
      </c>
      <c r="J34">
        <v>882.91</v>
      </c>
      <c r="K34" s="3">
        <v>4441.3900000000003</v>
      </c>
      <c r="L34" s="2">
        <v>6.3100000000000003E-2</v>
      </c>
      <c r="M34" s="2">
        <v>0.05</v>
      </c>
    </row>
    <row r="35" spans="1:13" x14ac:dyDescent="0.25">
      <c r="A35" s="1">
        <v>46132</v>
      </c>
      <c r="B35" t="s">
        <v>0</v>
      </c>
      <c r="C35" s="2">
        <v>1.04E-2</v>
      </c>
      <c r="D35" t="str">
        <f>"RGA"</f>
        <v>RGA</v>
      </c>
      <c r="E35">
        <v>759351604</v>
      </c>
      <c r="F35" t="str">
        <f>"Reinsurance Group of America"</f>
        <v>Reinsurance Group of America</v>
      </c>
      <c r="G35">
        <v>100</v>
      </c>
      <c r="H35">
        <v>203.6</v>
      </c>
      <c r="I35" s="3">
        <v>20359.5</v>
      </c>
      <c r="J35">
        <v>372</v>
      </c>
      <c r="K35">
        <v>93</v>
      </c>
      <c r="L35" s="2">
        <v>1.83E-2</v>
      </c>
      <c r="M35" s="2">
        <v>1.7500000000000002E-2</v>
      </c>
    </row>
    <row r="36" spans="1:13" x14ac:dyDescent="0.25">
      <c r="A36" s="1">
        <v>46132</v>
      </c>
      <c r="B36" t="s">
        <v>0</v>
      </c>
      <c r="C36" s="2">
        <v>7.3599999999999999E-2</v>
      </c>
      <c r="D36" t="str">
        <f>"XOP"</f>
        <v>XOP</v>
      </c>
      <c r="E36" t="str">
        <f>"78468R556"</f>
        <v>78468R556</v>
      </c>
      <c r="F36" t="str">
        <f>"SPDR® S&amp;P Oil &amp; Gas Explor &amp; Prodtn ETF"</f>
        <v>SPDR® S&amp;P Oil &amp; Gas Explor &amp; Prodtn ETF</v>
      </c>
      <c r="G36">
        <v>934</v>
      </c>
      <c r="H36">
        <v>130.66</v>
      </c>
      <c r="I36" s="3">
        <v>122034.62</v>
      </c>
      <c r="J36" s="3">
        <v>3038.29</v>
      </c>
      <c r="K36" s="3">
        <v>1148.1400000000001</v>
      </c>
      <c r="L36" s="2">
        <v>2.4899999999999999E-2</v>
      </c>
      <c r="M36" s="2">
        <v>2.0199999999999999E-2</v>
      </c>
    </row>
    <row r="37" spans="1:13" x14ac:dyDescent="0.25">
      <c r="A37" s="1">
        <v>46132</v>
      </c>
      <c r="B37" t="s">
        <v>0</v>
      </c>
      <c r="C37" s="2">
        <v>8.3999999999999995E-3</v>
      </c>
      <c r="D37" t="str">
        <f>"TROW"</f>
        <v>TROW</v>
      </c>
      <c r="E37" t="str">
        <f>"74144T108"</f>
        <v>74144T108</v>
      </c>
      <c r="F37" t="str">
        <f>"T. Rowe Price"</f>
        <v>T. Rowe Price</v>
      </c>
      <c r="G37">
        <v>175</v>
      </c>
      <c r="H37">
        <v>102.93</v>
      </c>
      <c r="I37" s="3">
        <v>18012.16</v>
      </c>
      <c r="J37">
        <v>910</v>
      </c>
      <c r="K37">
        <v>227.5</v>
      </c>
      <c r="L37" s="2">
        <v>5.0500000000000003E-2</v>
      </c>
      <c r="M37" s="2">
        <v>5.2999999999999999E-2</v>
      </c>
    </row>
    <row r="38" spans="1:13" x14ac:dyDescent="0.25">
      <c r="A38" s="1">
        <v>46132</v>
      </c>
      <c r="B38" t="s">
        <v>0</v>
      </c>
      <c r="C38" s="2">
        <v>1.7100000000000001E-2</v>
      </c>
      <c r="D38" t="str">
        <f>"TXN"</f>
        <v>TXN</v>
      </c>
      <c r="E38">
        <v>882508104</v>
      </c>
      <c r="F38" t="str">
        <f>"Texas Instruments"</f>
        <v>Texas Instruments</v>
      </c>
      <c r="G38">
        <v>150</v>
      </c>
      <c r="H38">
        <v>40.479999999999997</v>
      </c>
      <c r="I38" s="3">
        <v>6072.09</v>
      </c>
      <c r="J38">
        <v>852</v>
      </c>
      <c r="K38" s="3">
        <v>12793.4</v>
      </c>
      <c r="L38" s="2">
        <v>0.14030000000000001</v>
      </c>
      <c r="M38" s="2">
        <v>2.4299999999999999E-2</v>
      </c>
    </row>
    <row r="39" spans="1:13" x14ac:dyDescent="0.25">
      <c r="A39" s="1">
        <v>46132</v>
      </c>
      <c r="B39" t="s">
        <v>0</v>
      </c>
      <c r="C39" s="2">
        <v>1.11E-2</v>
      </c>
      <c r="D39" t="str">
        <f>"TTE"</f>
        <v>TTE</v>
      </c>
      <c r="E39" t="str">
        <f>"F92124100"</f>
        <v>F92124100</v>
      </c>
      <c r="F39" t="str">
        <f>"Total SA"</f>
        <v>Total SA</v>
      </c>
      <c r="G39">
        <v>259</v>
      </c>
      <c r="H39">
        <v>49.35</v>
      </c>
      <c r="I39" s="3">
        <v>12782.93</v>
      </c>
      <c r="J39">
        <v>0</v>
      </c>
      <c r="K39" s="3">
        <v>9242.0499999999993</v>
      </c>
      <c r="L39" t="str">
        <f>""</f>
        <v/>
      </c>
      <c r="M39" s="2">
        <v>0</v>
      </c>
    </row>
    <row r="40" spans="1:13" x14ac:dyDescent="0.25">
      <c r="A40" s="1">
        <v>46132</v>
      </c>
      <c r="B40" t="s">
        <v>0</v>
      </c>
      <c r="C40" s="2">
        <v>1.17E-2</v>
      </c>
      <c r="D40" t="str">
        <f>"UL"</f>
        <v>UL</v>
      </c>
      <c r="E40">
        <v>904767803</v>
      </c>
      <c r="F40" t="str">
        <f>"Unilever PLC"</f>
        <v>Unilever PLC</v>
      </c>
      <c r="G40">
        <v>414</v>
      </c>
      <c r="H40">
        <v>52.78</v>
      </c>
      <c r="I40" s="3">
        <v>21852.28</v>
      </c>
      <c r="J40">
        <v>951.07</v>
      </c>
      <c r="K40" s="3">
        <v>11738.71</v>
      </c>
      <c r="L40" s="2">
        <v>4.3499999999999997E-2</v>
      </c>
      <c r="M40" s="2">
        <v>3.9600000000000003E-2</v>
      </c>
    </row>
    <row r="41" spans="1:13" x14ac:dyDescent="0.25">
      <c r="A41" s="1">
        <v>46132</v>
      </c>
      <c r="B41" t="s">
        <v>0</v>
      </c>
      <c r="C41" s="2">
        <v>6.7000000000000002E-3</v>
      </c>
      <c r="D41" t="str">
        <f>"UNP"</f>
        <v>UNP</v>
      </c>
      <c r="E41">
        <v>907818108</v>
      </c>
      <c r="F41" t="str">
        <f>"Union Pacific"</f>
        <v>Union Pacific</v>
      </c>
      <c r="G41">
        <v>54</v>
      </c>
      <c r="H41">
        <v>205.84</v>
      </c>
      <c r="I41" s="3">
        <v>11115.38</v>
      </c>
      <c r="J41">
        <v>298.08</v>
      </c>
      <c r="K41" s="3">
        <v>2119.14</v>
      </c>
      <c r="L41" s="2">
        <v>2.6800000000000001E-2</v>
      </c>
      <c r="M41" s="2">
        <v>2.1899999999999999E-2</v>
      </c>
    </row>
    <row r="42" spans="1:13" x14ac:dyDescent="0.25">
      <c r="A42" s="1">
        <v>46132</v>
      </c>
      <c r="B42" t="s">
        <v>0</v>
      </c>
      <c r="C42" s="2">
        <v>1.01E-2</v>
      </c>
      <c r="D42" t="str">
        <f>"UPS"</f>
        <v>UPS</v>
      </c>
      <c r="E42">
        <v>911312106</v>
      </c>
      <c r="F42" t="str">
        <f>"United Parcel Service"</f>
        <v>United Parcel Service</v>
      </c>
      <c r="G42">
        <v>193</v>
      </c>
      <c r="H42">
        <v>84.17</v>
      </c>
      <c r="I42" s="3">
        <v>16245.2</v>
      </c>
      <c r="J42" s="3">
        <v>1266.08</v>
      </c>
      <c r="K42" s="3">
        <v>12000.12</v>
      </c>
      <c r="L42" s="2">
        <v>7.7899999999999997E-2</v>
      </c>
      <c r="M42" s="2">
        <v>6.1199999999999997E-2</v>
      </c>
    </row>
    <row r="43" spans="1:13" x14ac:dyDescent="0.25">
      <c r="A43" s="1">
        <v>46132</v>
      </c>
      <c r="B43" t="s">
        <v>0</v>
      </c>
      <c r="C43" s="2">
        <v>8.6E-3</v>
      </c>
      <c r="D43" t="str">
        <f>"VZ"</f>
        <v>VZ</v>
      </c>
      <c r="E43" t="str">
        <f>"92343V104"</f>
        <v>92343V104</v>
      </c>
      <c r="F43" t="str">
        <f>"Verizon"</f>
        <v>Verizon</v>
      </c>
      <c r="G43">
        <v>377</v>
      </c>
      <c r="H43">
        <v>36.86</v>
      </c>
      <c r="I43" s="3">
        <v>13896.79</v>
      </c>
      <c r="J43" s="3">
        <v>1066.9100000000001</v>
      </c>
      <c r="K43" s="3">
        <v>25086.27</v>
      </c>
      <c r="L43" s="2">
        <v>7.6799999999999993E-2</v>
      </c>
      <c r="M43" s="2">
        <v>6.0900000000000003E-2</v>
      </c>
    </row>
    <row r="44" spans="1:13" x14ac:dyDescent="0.25">
      <c r="A44" s="1">
        <v>46132</v>
      </c>
      <c r="B44" t="s">
        <v>0</v>
      </c>
      <c r="C44" s="2">
        <v>2.4E-2</v>
      </c>
      <c r="D44" t="str">
        <f>"CEF"</f>
        <v>CEF</v>
      </c>
      <c r="E44" t="str">
        <f>"85208R101"</f>
        <v>85208R101</v>
      </c>
      <c r="F44" t="str">
        <f>"Sprott Physical Gold and Silver Trust"</f>
        <v>Sprott Physical Gold and Silver Trust</v>
      </c>
      <c r="G44">
        <v>980</v>
      </c>
      <c r="H44">
        <v>38.89</v>
      </c>
      <c r="I44" s="3">
        <v>38109.06</v>
      </c>
      <c r="J44">
        <v>0</v>
      </c>
      <c r="K44">
        <v>0</v>
      </c>
      <c r="L44" t="str">
        <f>""</f>
        <v/>
      </c>
      <c r="M44" s="2">
        <v>0</v>
      </c>
    </row>
    <row r="45" spans="1:13" x14ac:dyDescent="0.25">
      <c r="A45" s="1">
        <v>46132</v>
      </c>
      <c r="B45" t="s">
        <v>0</v>
      </c>
      <c r="C45" s="2">
        <v>3.0499999999999999E-2</v>
      </c>
      <c r="D45" t="str">
        <f>"CASH"</f>
        <v>CASH</v>
      </c>
      <c r="E45" t="str">
        <f>""</f>
        <v/>
      </c>
      <c r="F45" t="str">
        <f>"Cash"</f>
        <v>Cash</v>
      </c>
      <c r="G45" t="str">
        <f>""</f>
        <v/>
      </c>
      <c r="H45" t="str">
        <f>""</f>
        <v/>
      </c>
      <c r="I45" s="3">
        <v>62299.77</v>
      </c>
      <c r="J45">
        <v>623</v>
      </c>
      <c r="K45" s="3">
        <v>1957.95</v>
      </c>
      <c r="L45" s="2">
        <v>0.01</v>
      </c>
      <c r="M45" s="2">
        <v>0.01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A82F3E39F6D48966CE5F2A60D183C" ma:contentTypeVersion="14" ma:contentTypeDescription="Create a new document." ma:contentTypeScope="" ma:versionID="ee6fa4220ecdfcc2f6fea1f3e0d62b76">
  <xsd:schema xmlns:xsd="http://www.w3.org/2001/XMLSchema" xmlns:xs="http://www.w3.org/2001/XMLSchema" xmlns:p="http://schemas.microsoft.com/office/2006/metadata/properties" xmlns:ns2="db58b361-de72-439a-9b19-5afb42a4fe9e" xmlns:ns3="e26837be-2e64-4fb1-8d10-81cb111b0084" targetNamespace="http://schemas.microsoft.com/office/2006/metadata/properties" ma:root="true" ma:fieldsID="54ce9d38be15445670b4f969d736cc65" ns2:_="" ns3:_="">
    <xsd:import namespace="db58b361-de72-439a-9b19-5afb42a4fe9e"/>
    <xsd:import namespace="e26837be-2e64-4fb1-8d10-81cb111b008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b361-de72-439a-9b19-5afb42a4fe9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639c25-1a56-4197-b479-8befda008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837be-2e64-4fb1-8d10-81cb111b0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3bc2a0c-107b-4c5c-910e-cb5bd0310dcf}" ma:internalName="TaxCatchAll" ma:showField="CatchAllData" ma:web="e26837be-2e64-4fb1-8d10-81cb111b0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db58b361-de72-439a-9b19-5afb42a4fe9e" xsi:nil="true"/>
    <TaxCatchAll xmlns="e26837be-2e64-4fb1-8d10-81cb111b0084" xsi:nil="true"/>
    <lcf76f155ced4ddcb4097134ff3c332f xmlns="db58b361-de72-439a-9b19-5afb42a4fe9e">
      <Terms xmlns="http://schemas.microsoft.com/office/infopath/2007/PartnerControls"/>
    </lcf76f155ced4ddcb4097134ff3c332f>
    <MigrationWizId xmlns="db58b361-de72-439a-9b19-5afb42a4fe9e" xsi:nil="true"/>
    <MigrationWizIdVersion xmlns="db58b361-de72-439a-9b19-5afb42a4fe9e" xsi:nil="true"/>
  </documentManagement>
</p:properties>
</file>

<file path=customXml/itemProps1.xml><?xml version="1.0" encoding="utf-8"?>
<ds:datastoreItem xmlns:ds="http://schemas.openxmlformats.org/officeDocument/2006/customXml" ds:itemID="{DA66E9F4-50C0-4090-B730-CDDB44A38E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D8D72A-0055-48C6-BD08-3D90393D05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8b361-de72-439a-9b19-5afb42a4fe9e"/>
    <ds:schemaRef ds:uri="e26837be-2e64-4fb1-8d10-81cb111b00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7A8652-D143-4B7B-96CD-BAC47B743C9D}">
  <ds:schemaRefs>
    <ds:schemaRef ds:uri="http://schemas.microsoft.com/office/2006/metadata/properties"/>
    <ds:schemaRef ds:uri="http://schemas.microsoft.com/office/infopath/2007/PartnerControls"/>
    <ds:schemaRef ds:uri="db58b361-de72-439a-9b19-5afb42a4fe9e"/>
    <ds:schemaRef ds:uri="e26837be-2e64-4fb1-8d10-81cb111b00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QDVD</vt:lpstr>
      <vt:lpstr>SMID</vt:lpstr>
      <vt:lpstr>DAC</vt:lpstr>
      <vt:lpstr>OR</vt:lpstr>
      <vt:lpstr>DCP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Adair</dc:creator>
  <cp:lastModifiedBy>Ryan Adair</cp:lastModifiedBy>
  <dcterms:created xsi:type="dcterms:W3CDTF">2026-04-21T20:36:23Z</dcterms:created>
  <dcterms:modified xsi:type="dcterms:W3CDTF">2026-04-23T17:55:58Z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0x010100816A82F3E39F6D48966CE5F2A60D183C</vt:lpwstr>
  </property>
  <property fmtid="{D5CDD505-2E9C-101B-9397-08002B2CF9AE}" pid="3" name="MediaServiceImageTags">
    <vt:lpwstr/>
  </property>
</Properties>
</file>