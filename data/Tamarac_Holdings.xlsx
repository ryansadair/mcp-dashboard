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tincp1-my.sharepoint.com/personal/ryan_martincp_com/Documents/Desktop/"/>
    </mc:Choice>
  </mc:AlternateContent>
  <xr:revisionPtr revIDLastSave="0" documentId="8_{00BA61FE-B75D-4020-8B57-A991CAA9778D}" xr6:coauthVersionLast="47" xr6:coauthVersionMax="47" xr10:uidLastSave="{00000000-0000-0000-0000-000000000000}"/>
  <bookViews>
    <workbookView xWindow="-28920" yWindow="-120" windowWidth="29040" windowHeight="15720" xr2:uid="{42EFA0AD-3AD5-41B8-A981-A757C5D08AC2}"/>
  </bookViews>
  <sheets>
    <sheet name="QDVD" sheetId="1" r:id="rId1"/>
    <sheet name="SMID" sheetId="2" r:id="rId2"/>
    <sheet name="DAC" sheetId="3" r:id="rId3"/>
    <sheet name="OR" sheetId="4" r:id="rId4"/>
    <sheet name="DCP" sheetId="5" r:id="rId5"/>
  </sheets>
  <calcPr calcId="0"/>
</workbook>
</file>

<file path=xl/calcChain.xml><?xml version="1.0" encoding="utf-8"?>
<calcChain xmlns="http://schemas.openxmlformats.org/spreadsheetml/2006/main">
  <c r="A1" i="5" l="1"/>
  <c r="B1" i="5"/>
  <c r="C1" i="5"/>
  <c r="D1" i="5"/>
  <c r="E1" i="5"/>
  <c r="F1" i="5"/>
  <c r="G1" i="5"/>
  <c r="D2" i="5"/>
  <c r="E2" i="5"/>
  <c r="F2" i="5"/>
  <c r="D3" i="5"/>
  <c r="E3" i="5"/>
  <c r="F3" i="5"/>
  <c r="D4" i="5"/>
  <c r="E4" i="5"/>
  <c r="F4" i="5"/>
  <c r="D5" i="5"/>
  <c r="E5" i="5"/>
  <c r="F5" i="5"/>
  <c r="D6" i="5"/>
  <c r="F6" i="5"/>
  <c r="D7" i="5"/>
  <c r="E7" i="5"/>
  <c r="F7" i="5"/>
  <c r="D8" i="5"/>
  <c r="F8" i="5"/>
  <c r="D9" i="5"/>
  <c r="E9" i="5"/>
  <c r="F9" i="5"/>
  <c r="D10" i="5"/>
  <c r="F10" i="5"/>
  <c r="D11" i="5"/>
  <c r="F11" i="5"/>
  <c r="D12" i="5"/>
  <c r="E12" i="5"/>
  <c r="F12" i="5"/>
  <c r="D13" i="5"/>
  <c r="E13" i="5"/>
  <c r="F13" i="5"/>
  <c r="D14" i="5"/>
  <c r="E14" i="5"/>
  <c r="F14" i="5"/>
  <c r="D15" i="5"/>
  <c r="F15" i="5"/>
  <c r="D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F21" i="5"/>
  <c r="D22" i="5"/>
  <c r="F22" i="5"/>
  <c r="D23" i="5"/>
  <c r="E23" i="5"/>
  <c r="F23" i="5"/>
  <c r="D24" i="5"/>
  <c r="F24" i="5"/>
  <c r="D25" i="5"/>
  <c r="E25" i="5"/>
  <c r="F25" i="5"/>
  <c r="D26" i="5"/>
  <c r="F26" i="5"/>
  <c r="D27" i="5"/>
  <c r="F27" i="5"/>
  <c r="D28" i="5"/>
  <c r="F28" i="5"/>
  <c r="D29" i="5"/>
  <c r="F29" i="5"/>
  <c r="D30" i="5"/>
  <c r="F30" i="5"/>
  <c r="D31" i="5"/>
  <c r="F31" i="5"/>
  <c r="D32" i="5"/>
  <c r="F32" i="5"/>
  <c r="D33" i="5"/>
  <c r="F33" i="5"/>
  <c r="D34" i="5"/>
  <c r="F34" i="5"/>
  <c r="D35" i="5"/>
  <c r="F35" i="5"/>
  <c r="D36" i="5"/>
  <c r="F36" i="5"/>
  <c r="D37" i="5"/>
  <c r="E37" i="5"/>
  <c r="F37" i="5"/>
  <c r="D38" i="5"/>
  <c r="E38" i="5"/>
  <c r="F38" i="5"/>
  <c r="D39" i="5"/>
  <c r="F39" i="5"/>
  <c r="D40" i="5"/>
  <c r="E40" i="5"/>
  <c r="F40" i="5"/>
  <c r="D41" i="5"/>
  <c r="F41" i="5"/>
  <c r="D42" i="5"/>
  <c r="F42" i="5"/>
  <c r="D43" i="5"/>
  <c r="F43" i="5"/>
  <c r="D44" i="5"/>
  <c r="E44" i="5"/>
  <c r="F44" i="5"/>
  <c r="D45" i="5"/>
  <c r="E45" i="5"/>
  <c r="F45" i="5"/>
  <c r="D46" i="5"/>
  <c r="E46" i="5"/>
  <c r="F46" i="5"/>
  <c r="A1" i="4"/>
  <c r="B1" i="4"/>
  <c r="C1" i="4"/>
  <c r="D1" i="4"/>
  <c r="E1" i="4"/>
  <c r="F1" i="4"/>
  <c r="G1" i="4"/>
  <c r="B2" i="4"/>
  <c r="D2" i="4"/>
  <c r="E2" i="4"/>
  <c r="F2" i="4"/>
  <c r="B3" i="4"/>
  <c r="D3" i="4"/>
  <c r="E3" i="4"/>
  <c r="F3" i="4"/>
  <c r="B4" i="4"/>
  <c r="D4" i="4"/>
  <c r="E4" i="4"/>
  <c r="F4" i="4"/>
  <c r="B5" i="4"/>
  <c r="D5" i="4"/>
  <c r="F5" i="4"/>
  <c r="B6" i="4"/>
  <c r="D6" i="4"/>
  <c r="E6" i="4"/>
  <c r="F6" i="4"/>
  <c r="B7" i="4"/>
  <c r="D7" i="4"/>
  <c r="F7" i="4"/>
  <c r="B8" i="4"/>
  <c r="D8" i="4"/>
  <c r="F8" i="4"/>
  <c r="B9" i="4"/>
  <c r="D9" i="4"/>
  <c r="E9" i="4"/>
  <c r="F9" i="4"/>
  <c r="B10" i="4"/>
  <c r="D10" i="4"/>
  <c r="F10" i="4"/>
  <c r="B11" i="4"/>
  <c r="D11" i="4"/>
  <c r="F11" i="4"/>
  <c r="B12" i="4"/>
  <c r="D12" i="4"/>
  <c r="F12" i="4"/>
  <c r="B13" i="4"/>
  <c r="D13" i="4"/>
  <c r="F13" i="4"/>
  <c r="B14" i="4"/>
  <c r="D14" i="4"/>
  <c r="E14" i="4"/>
  <c r="F14" i="4"/>
  <c r="B15" i="4"/>
  <c r="D15" i="4"/>
  <c r="F15" i="4"/>
  <c r="B16" i="4"/>
  <c r="D16" i="4"/>
  <c r="F16" i="4"/>
  <c r="B17" i="4"/>
  <c r="D17" i="4"/>
  <c r="E17" i="4"/>
  <c r="F17" i="4"/>
  <c r="B18" i="4"/>
  <c r="D18" i="4"/>
  <c r="F18" i="4"/>
  <c r="B19" i="4"/>
  <c r="D19" i="4"/>
  <c r="F19" i="4"/>
  <c r="B20" i="4"/>
  <c r="D20" i="4"/>
  <c r="F20" i="4"/>
  <c r="B21" i="4"/>
  <c r="D21" i="4"/>
  <c r="F21" i="4"/>
  <c r="B22" i="4"/>
  <c r="D22" i="4"/>
  <c r="F22" i="4"/>
  <c r="B23" i="4"/>
  <c r="D23" i="4"/>
  <c r="F23" i="4"/>
  <c r="B24" i="4"/>
  <c r="D24" i="4"/>
  <c r="F24" i="4"/>
  <c r="B25" i="4"/>
  <c r="D25" i="4"/>
  <c r="E25" i="4"/>
  <c r="F25" i="4"/>
  <c r="B26" i="4"/>
  <c r="D26" i="4"/>
  <c r="F26" i="4"/>
  <c r="B27" i="4"/>
  <c r="D27" i="4"/>
  <c r="E27" i="4"/>
  <c r="F27" i="4"/>
  <c r="B28" i="4"/>
  <c r="D28" i="4"/>
  <c r="F28" i="4"/>
  <c r="B29" i="4"/>
  <c r="D29" i="4"/>
  <c r="F29" i="4"/>
  <c r="B30" i="4"/>
  <c r="D30" i="4"/>
  <c r="F30" i="4"/>
  <c r="B31" i="4"/>
  <c r="D31" i="4"/>
  <c r="F31" i="4"/>
  <c r="B32" i="4"/>
  <c r="D32" i="4"/>
  <c r="E32" i="4"/>
  <c r="F32" i="4"/>
  <c r="B33" i="4"/>
  <c r="D33" i="4"/>
  <c r="F33" i="4"/>
  <c r="B34" i="4"/>
  <c r="D34" i="4"/>
  <c r="F34" i="4"/>
  <c r="B35" i="4"/>
  <c r="D35" i="4"/>
  <c r="F35" i="4"/>
  <c r="B36" i="4"/>
  <c r="D36" i="4"/>
  <c r="F36" i="4"/>
  <c r="B37" i="4"/>
  <c r="D37" i="4"/>
  <c r="E37" i="4"/>
  <c r="F37" i="4"/>
  <c r="B38" i="4"/>
  <c r="D38" i="4"/>
  <c r="E38" i="4"/>
  <c r="F38" i="4"/>
  <c r="A1" i="3"/>
  <c r="B1" i="3"/>
  <c r="C1" i="3"/>
  <c r="D1" i="3"/>
  <c r="E1" i="3"/>
  <c r="F1" i="3"/>
  <c r="G1" i="3"/>
  <c r="B2" i="3"/>
  <c r="D2" i="3"/>
  <c r="E2" i="3"/>
  <c r="F2" i="3"/>
  <c r="B3" i="3"/>
  <c r="D3" i="3"/>
  <c r="E3" i="3"/>
  <c r="F3" i="3"/>
  <c r="B4" i="3"/>
  <c r="D4" i="3"/>
  <c r="E4" i="3"/>
  <c r="F4" i="3"/>
  <c r="B5" i="3"/>
  <c r="D5" i="3"/>
  <c r="E5" i="3"/>
  <c r="F5" i="3"/>
  <c r="B6" i="3"/>
  <c r="D6" i="3"/>
  <c r="E6" i="3"/>
  <c r="F6" i="3"/>
  <c r="B7" i="3"/>
  <c r="D7" i="3"/>
  <c r="F7" i="3"/>
  <c r="B8" i="3"/>
  <c r="D8" i="3"/>
  <c r="E8" i="3"/>
  <c r="F8" i="3"/>
  <c r="B9" i="3"/>
  <c r="D9" i="3"/>
  <c r="F9" i="3"/>
  <c r="B10" i="3"/>
  <c r="D10" i="3"/>
  <c r="E10" i="3"/>
  <c r="F10" i="3"/>
  <c r="B11" i="3"/>
  <c r="D11" i="3"/>
  <c r="F11" i="3"/>
  <c r="B12" i="3"/>
  <c r="D12" i="3"/>
  <c r="E12" i="3"/>
  <c r="F12" i="3"/>
  <c r="B13" i="3"/>
  <c r="D13" i="3"/>
  <c r="F13" i="3"/>
  <c r="B14" i="3"/>
  <c r="D14" i="3"/>
  <c r="E14" i="3"/>
  <c r="F14" i="3"/>
  <c r="B15" i="3"/>
  <c r="D15" i="3"/>
  <c r="E15" i="3"/>
  <c r="F15" i="3"/>
  <c r="B16" i="3"/>
  <c r="D16" i="3"/>
  <c r="F16" i="3"/>
  <c r="B17" i="3"/>
  <c r="D17" i="3"/>
  <c r="F17" i="3"/>
  <c r="B18" i="3"/>
  <c r="D18" i="3"/>
  <c r="F18" i="3"/>
  <c r="B19" i="3"/>
  <c r="D19" i="3"/>
  <c r="F19" i="3"/>
  <c r="B20" i="3"/>
  <c r="D20" i="3"/>
  <c r="F20" i="3"/>
  <c r="B21" i="3"/>
  <c r="D21" i="3"/>
  <c r="F21" i="3"/>
  <c r="B22" i="3"/>
  <c r="D22" i="3"/>
  <c r="F22" i="3"/>
  <c r="B23" i="3"/>
  <c r="D23" i="3"/>
  <c r="E23" i="3"/>
  <c r="F23" i="3"/>
  <c r="B24" i="3"/>
  <c r="D24" i="3"/>
  <c r="F24" i="3"/>
  <c r="B25" i="3"/>
  <c r="D25" i="3"/>
  <c r="F25" i="3"/>
  <c r="B26" i="3"/>
  <c r="D26" i="3"/>
  <c r="E26" i="3"/>
  <c r="F26" i="3"/>
  <c r="B27" i="3"/>
  <c r="D27" i="3"/>
  <c r="F27" i="3"/>
  <c r="B28" i="3"/>
  <c r="D28" i="3"/>
  <c r="F28" i="3"/>
  <c r="B29" i="3"/>
  <c r="D29" i="3"/>
  <c r="F29" i="3"/>
  <c r="B30" i="3"/>
  <c r="D30" i="3"/>
  <c r="F30" i="3"/>
  <c r="B31" i="3"/>
  <c r="D31" i="3"/>
  <c r="F31" i="3"/>
  <c r="B32" i="3"/>
  <c r="D32" i="3"/>
  <c r="F32" i="3"/>
  <c r="B33" i="3"/>
  <c r="D33" i="3"/>
  <c r="F33" i="3"/>
  <c r="B34" i="3"/>
  <c r="D34" i="3"/>
  <c r="F34" i="3"/>
  <c r="B35" i="3"/>
  <c r="D35" i="3"/>
  <c r="E35" i="3"/>
  <c r="F35" i="3"/>
  <c r="B36" i="3"/>
  <c r="D36" i="3"/>
  <c r="F36" i="3"/>
  <c r="B37" i="3"/>
  <c r="D37" i="3"/>
  <c r="E37" i="3"/>
  <c r="F37" i="3"/>
  <c r="B38" i="3"/>
  <c r="D38" i="3"/>
  <c r="F38" i="3"/>
  <c r="B39" i="3"/>
  <c r="D39" i="3"/>
  <c r="F39" i="3"/>
  <c r="B40" i="3"/>
  <c r="D40" i="3"/>
  <c r="F40" i="3"/>
  <c r="B41" i="3"/>
  <c r="D41" i="3"/>
  <c r="F41" i="3"/>
  <c r="B42" i="3"/>
  <c r="D42" i="3"/>
  <c r="F42" i="3"/>
  <c r="B43" i="3"/>
  <c r="D43" i="3"/>
  <c r="E43" i="3"/>
  <c r="F43" i="3"/>
  <c r="B44" i="3"/>
  <c r="D44" i="3"/>
  <c r="F44" i="3"/>
  <c r="B45" i="3"/>
  <c r="D45" i="3"/>
  <c r="F45" i="3"/>
  <c r="B46" i="3"/>
  <c r="D46" i="3"/>
  <c r="F46" i="3"/>
  <c r="B47" i="3"/>
  <c r="D47" i="3"/>
  <c r="E47" i="3"/>
  <c r="F47" i="3"/>
  <c r="B48" i="3"/>
  <c r="D48" i="3"/>
  <c r="E48" i="3"/>
  <c r="F48" i="3"/>
  <c r="A1" i="2"/>
  <c r="B1" i="2"/>
  <c r="C1" i="2"/>
  <c r="D1" i="2"/>
  <c r="E1" i="2"/>
  <c r="F1" i="2"/>
  <c r="G1" i="2"/>
  <c r="B2" i="2"/>
  <c r="D2" i="2"/>
  <c r="E2" i="2"/>
  <c r="F2" i="2"/>
  <c r="B3" i="2"/>
  <c r="D3" i="2"/>
  <c r="E3" i="2"/>
  <c r="F3" i="2"/>
  <c r="B4" i="2"/>
  <c r="D4" i="2"/>
  <c r="E4" i="2"/>
  <c r="F4" i="2"/>
  <c r="B5" i="2"/>
  <c r="D5" i="2"/>
  <c r="E5" i="2"/>
  <c r="F5" i="2"/>
  <c r="B6" i="2"/>
  <c r="D6" i="2"/>
  <c r="F6" i="2"/>
  <c r="B7" i="2"/>
  <c r="D7" i="2"/>
  <c r="F7" i="2"/>
  <c r="B8" i="2"/>
  <c r="D8" i="2"/>
  <c r="E8" i="2"/>
  <c r="F8" i="2"/>
  <c r="B9" i="2"/>
  <c r="D9" i="2"/>
  <c r="F9" i="2"/>
  <c r="B10" i="2"/>
  <c r="D10" i="2"/>
  <c r="F10" i="2"/>
  <c r="B11" i="2"/>
  <c r="D11" i="2"/>
  <c r="F11" i="2"/>
  <c r="B12" i="2"/>
  <c r="D12" i="2"/>
  <c r="F12" i="2"/>
  <c r="B13" i="2"/>
  <c r="D13" i="2"/>
  <c r="F13" i="2"/>
  <c r="B14" i="2"/>
  <c r="D14" i="2"/>
  <c r="F14" i="2"/>
  <c r="B15" i="2"/>
  <c r="D15" i="2"/>
  <c r="F15" i="2"/>
  <c r="B16" i="2"/>
  <c r="D16" i="2"/>
  <c r="F16" i="2"/>
  <c r="B17" i="2"/>
  <c r="D17" i="2"/>
  <c r="F17" i="2"/>
  <c r="B18" i="2"/>
  <c r="D18" i="2"/>
  <c r="F18" i="2"/>
  <c r="B19" i="2"/>
  <c r="D19" i="2"/>
  <c r="E19" i="2"/>
  <c r="F19" i="2"/>
  <c r="B20" i="2"/>
  <c r="D20" i="2"/>
  <c r="E20" i="2"/>
  <c r="F20" i="2"/>
  <c r="B21" i="2"/>
  <c r="D21" i="2"/>
  <c r="F21" i="2"/>
  <c r="B22" i="2"/>
  <c r="D22" i="2"/>
  <c r="F22" i="2"/>
  <c r="B23" i="2"/>
  <c r="D23" i="2"/>
  <c r="F23" i="2"/>
  <c r="B24" i="2"/>
  <c r="D24" i="2"/>
  <c r="F24" i="2"/>
  <c r="B25" i="2"/>
  <c r="D25" i="2"/>
  <c r="E25" i="2"/>
  <c r="F25" i="2"/>
  <c r="B26" i="2"/>
  <c r="D26" i="2"/>
  <c r="E26" i="2"/>
  <c r="F26" i="2"/>
  <c r="A1" i="1"/>
  <c r="B1" i="1"/>
  <c r="C1" i="1"/>
  <c r="D1" i="1"/>
  <c r="E1" i="1"/>
  <c r="F1" i="1"/>
  <c r="G1" i="1"/>
  <c r="B2" i="1"/>
  <c r="D2" i="1"/>
  <c r="E2" i="1"/>
  <c r="F2" i="1"/>
  <c r="B3" i="1"/>
  <c r="D3" i="1"/>
  <c r="E3" i="1"/>
  <c r="F3" i="1"/>
  <c r="B4" i="1"/>
  <c r="D4" i="1"/>
  <c r="E4" i="1"/>
  <c r="F4" i="1"/>
  <c r="B5" i="1"/>
  <c r="D5" i="1"/>
  <c r="F5" i="1"/>
  <c r="B6" i="1"/>
  <c r="D6" i="1"/>
  <c r="E6" i="1"/>
  <c r="F6" i="1"/>
  <c r="B7" i="1"/>
  <c r="D7" i="1"/>
  <c r="F7" i="1"/>
  <c r="B8" i="1"/>
  <c r="D8" i="1"/>
  <c r="E8" i="1"/>
  <c r="F8" i="1"/>
  <c r="B9" i="1"/>
  <c r="D9" i="1"/>
  <c r="F9" i="1"/>
  <c r="B10" i="1"/>
  <c r="D10" i="1"/>
  <c r="F10" i="1"/>
  <c r="B11" i="1"/>
  <c r="D11" i="1"/>
  <c r="E11" i="1"/>
  <c r="F11" i="1"/>
  <c r="B12" i="1"/>
  <c r="D12" i="1"/>
  <c r="E12" i="1"/>
  <c r="F12" i="1"/>
  <c r="B13" i="1"/>
  <c r="D13" i="1"/>
  <c r="E13" i="1"/>
  <c r="F13" i="1"/>
  <c r="B14" i="1"/>
  <c r="D14" i="1"/>
  <c r="F14" i="1"/>
  <c r="B15" i="1"/>
  <c r="D15" i="1"/>
  <c r="F15" i="1"/>
  <c r="B16" i="1"/>
  <c r="D16" i="1"/>
  <c r="F16" i="1"/>
  <c r="B17" i="1"/>
  <c r="D17" i="1"/>
  <c r="E17" i="1"/>
  <c r="F17" i="1"/>
  <c r="B18" i="1"/>
  <c r="D18" i="1"/>
  <c r="F18" i="1"/>
  <c r="B19" i="1"/>
  <c r="D19" i="1"/>
  <c r="E19" i="1"/>
  <c r="F19" i="1"/>
  <c r="B20" i="1"/>
  <c r="D20" i="1"/>
  <c r="F20" i="1"/>
  <c r="B21" i="1"/>
  <c r="D21" i="1"/>
  <c r="F21" i="1"/>
  <c r="B22" i="1"/>
  <c r="D22" i="1"/>
  <c r="F22" i="1"/>
  <c r="B23" i="1"/>
  <c r="D23" i="1"/>
  <c r="F23" i="1"/>
  <c r="B24" i="1"/>
  <c r="D24" i="1"/>
  <c r="F24" i="1"/>
  <c r="B25" i="1"/>
  <c r="D25" i="1"/>
  <c r="F25" i="1"/>
  <c r="B26" i="1"/>
  <c r="D26" i="1"/>
  <c r="F26" i="1"/>
  <c r="B27" i="1"/>
  <c r="D27" i="1"/>
  <c r="F27" i="1"/>
  <c r="B28" i="1"/>
  <c r="D28" i="1"/>
  <c r="F28" i="1"/>
  <c r="B29" i="1"/>
  <c r="D29" i="1"/>
  <c r="F29" i="1"/>
  <c r="B30" i="1"/>
  <c r="D30" i="1"/>
  <c r="F30" i="1"/>
  <c r="B31" i="1"/>
  <c r="D31" i="1"/>
  <c r="E31" i="1"/>
  <c r="F31" i="1"/>
  <c r="B32" i="1"/>
  <c r="D32" i="1"/>
  <c r="F32" i="1"/>
  <c r="B33" i="1"/>
  <c r="D33" i="1"/>
  <c r="E33" i="1"/>
  <c r="F33" i="1"/>
  <c r="B34" i="1"/>
  <c r="D34" i="1"/>
  <c r="F34" i="1"/>
  <c r="B35" i="1"/>
  <c r="D35" i="1"/>
  <c r="F35" i="1"/>
  <c r="B36" i="1"/>
  <c r="D36" i="1"/>
  <c r="F36" i="1"/>
  <c r="B37" i="1"/>
  <c r="D37" i="1"/>
  <c r="E37" i="1"/>
  <c r="F37" i="1"/>
  <c r="B38" i="1"/>
  <c r="D38" i="1"/>
  <c r="E38" i="1"/>
  <c r="F38" i="1"/>
</calcChain>
</file>

<file path=xl/sharedStrings.xml><?xml version="1.0" encoding="utf-8"?>
<sst xmlns="http://schemas.openxmlformats.org/spreadsheetml/2006/main" count="45" uniqueCount="1">
  <si>
    <t>*Dividend Core Plus (DCP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</si>
</sst>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10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BA9-9C31-4CDD-8AE0-AC7139FBE929}">
  <dimension ref="A1:G38"/>
  <sheetViews>
    <sheetView tabSelected="1" zoomScale="85" zoomScaleNormal="85" workbookViewId="0"/>
  </sheetViews>
  <sheetFormatPr defaultRowHeight="15" x14ac:dyDescent="0.25"/>
  <cols>
    <col min="1" max="1" width="9.7109375" bestFit="1" customWidth="1"/>
    <col min="2" max="2" width="31.28515625" bestFit="1" customWidth="1"/>
    <col min="3" max="3" width="8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10.7109375" bestFit="1" customWidth="1"/>
  </cols>
  <sheetData>
    <row r="1" spans="1: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</row>
    <row r="2" spans="1:7" x14ac:dyDescent="0.25">
      <c r="A2" s="1">
        <v>46080</v>
      </c>
      <c r="B2" t="str">
        <f t="shared" ref="B2:B38" si="0">"*Quality Dividend Strategy (*QDG)"</f>
        <v>*Quality Dividend Strategy (*QDG)</v>
      </c>
      <c r="C2" s="2">
        <v>4.6600000000000003E-2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 s="3">
        <v>269</v>
      </c>
    </row>
    <row r="3" spans="1:7" x14ac:dyDescent="0.25">
      <c r="A3" s="1">
        <v>46080</v>
      </c>
      <c r="B3" t="str">
        <f t="shared" si="0"/>
        <v>*Quality Dividend Strategy (*QDG)</v>
      </c>
      <c r="C3" s="2">
        <v>3.8199999999999998E-2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 s="3">
        <v>59</v>
      </c>
    </row>
    <row r="4" spans="1:7" x14ac:dyDescent="0.25">
      <c r="A4" s="1">
        <v>46080</v>
      </c>
      <c r="B4" t="str">
        <f t="shared" si="0"/>
        <v>*Quality Dividend Strategy (*QDG)</v>
      </c>
      <c r="C4" s="2">
        <v>3.44E-2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1045</v>
      </c>
    </row>
    <row r="5" spans="1:7" x14ac:dyDescent="0.25">
      <c r="A5" s="1">
        <v>46080</v>
      </c>
      <c r="B5" t="str">
        <f t="shared" si="0"/>
        <v>*Quality Dividend Strategy (*QDG)</v>
      </c>
      <c r="C5" s="2">
        <v>3.5799999999999998E-2</v>
      </c>
      <c r="D5" t="str">
        <f>"CVX"</f>
        <v>CVX</v>
      </c>
      <c r="E5">
        <v>166764100</v>
      </c>
      <c r="F5" t="str">
        <f>"Chevron"</f>
        <v>Chevron</v>
      </c>
      <c r="G5" s="3">
        <v>429</v>
      </c>
    </row>
    <row r="6" spans="1:7" x14ac:dyDescent="0.25">
      <c r="A6" s="1">
        <v>46080</v>
      </c>
      <c r="B6" t="str">
        <f t="shared" si="0"/>
        <v>*Quality Dividend Strategy (*QDG)</v>
      </c>
      <c r="C6" s="2">
        <v>3.04E-2</v>
      </c>
      <c r="D6" t="str">
        <f>"CSCO"</f>
        <v>CSCO</v>
      </c>
      <c r="E6" t="str">
        <f>"17275R102"</f>
        <v>17275R102</v>
      </c>
      <c r="F6" t="str">
        <f>"Cisco Systems"</f>
        <v>Cisco Systems</v>
      </c>
      <c r="G6" s="3">
        <v>858</v>
      </c>
    </row>
    <row r="7" spans="1:7" x14ac:dyDescent="0.25">
      <c r="A7" s="1">
        <v>46080</v>
      </c>
      <c r="B7" t="str">
        <f t="shared" si="0"/>
        <v>*Quality Dividend Strategy (*QDG)</v>
      </c>
      <c r="C7" s="2">
        <v>2.12E-2</v>
      </c>
      <c r="D7" t="str">
        <f>"CLX"</f>
        <v>CLX</v>
      </c>
      <c r="E7">
        <v>189054109</v>
      </c>
      <c r="F7" t="str">
        <f>"Clorox"</f>
        <v>Clorox</v>
      </c>
      <c r="G7" s="3">
        <v>373</v>
      </c>
    </row>
    <row r="8" spans="1:7" x14ac:dyDescent="0.25">
      <c r="A8" s="1">
        <v>46080</v>
      </c>
      <c r="B8" t="str">
        <f t="shared" si="0"/>
        <v>*Quality Dividend Strategy (*QDG)</v>
      </c>
      <c r="C8" s="2">
        <v>3.7499999999999999E-2</v>
      </c>
      <c r="D8" t="str">
        <f>"CME"</f>
        <v>CME</v>
      </c>
      <c r="E8" t="str">
        <f>"12572Q105"</f>
        <v>12572Q105</v>
      </c>
      <c r="F8" t="str">
        <f>"CME Group"</f>
        <v>CME Group</v>
      </c>
      <c r="G8" s="3">
        <v>263</v>
      </c>
    </row>
    <row r="9" spans="1:7" x14ac:dyDescent="0.25">
      <c r="A9" s="1">
        <v>46080</v>
      </c>
      <c r="B9" t="str">
        <f t="shared" si="0"/>
        <v>*Quality Dividend Strategy (*QDG)</v>
      </c>
      <c r="C9" s="2">
        <v>2.2700000000000001E-2</v>
      </c>
      <c r="D9" t="str">
        <f>"KOF"</f>
        <v>KOF</v>
      </c>
      <c r="E9">
        <v>191241108</v>
      </c>
      <c r="F9" t="str">
        <f>"Coca-Cola Femsa"</f>
        <v>Coca-Cola Femsa</v>
      </c>
      <c r="G9" s="3">
        <v>457</v>
      </c>
    </row>
    <row r="10" spans="1:7" x14ac:dyDescent="0.25">
      <c r="A10" s="1">
        <v>46080</v>
      </c>
      <c r="B10" t="str">
        <f t="shared" si="0"/>
        <v>*Quality Dividend Strategy (*QDG)</v>
      </c>
      <c r="C10" s="2">
        <v>3.4599999999999999E-2</v>
      </c>
      <c r="D10" t="str">
        <f>"CFR"</f>
        <v>CFR</v>
      </c>
      <c r="E10">
        <v>229899109</v>
      </c>
      <c r="F10" t="str">
        <f>"Cullen/Frost Bankers"</f>
        <v>Cullen/Frost Bankers</v>
      </c>
      <c r="G10" s="3">
        <v>561</v>
      </c>
    </row>
    <row r="11" spans="1:7" x14ac:dyDescent="0.25">
      <c r="A11" s="1">
        <v>46080</v>
      </c>
      <c r="B11" t="str">
        <f t="shared" si="0"/>
        <v>*Quality Dividend Strategy (*QDG)</v>
      </c>
      <c r="C11" s="2">
        <v>2.2700000000000001E-2</v>
      </c>
      <c r="D11" t="str">
        <f>"DVN"</f>
        <v>DVN</v>
      </c>
      <c r="E11" t="str">
        <f>"25179M103"</f>
        <v>25179M103</v>
      </c>
      <c r="F11" t="str">
        <f>"Devon Energy"</f>
        <v>Devon Energy</v>
      </c>
      <c r="G11" s="3">
        <v>1170</v>
      </c>
    </row>
    <row r="12" spans="1:7" x14ac:dyDescent="0.25">
      <c r="A12" s="1">
        <v>46080</v>
      </c>
      <c r="B12" t="str">
        <f t="shared" si="0"/>
        <v>*Quality Dividend Strategy (*QDG)</v>
      </c>
      <c r="C12" s="2">
        <v>1.77E-2</v>
      </c>
      <c r="D12" t="str">
        <f>"ETR"</f>
        <v>ETR</v>
      </c>
      <c r="E12" t="str">
        <f>"29364G103"</f>
        <v>29364G103</v>
      </c>
      <c r="F12" t="str">
        <f>"Entergy"</f>
        <v>Entergy</v>
      </c>
      <c r="G12" s="3">
        <v>371</v>
      </c>
    </row>
    <row r="13" spans="1:7" x14ac:dyDescent="0.25">
      <c r="A13" s="1">
        <v>46080</v>
      </c>
      <c r="B13" t="str">
        <f t="shared" si="0"/>
        <v>*Quality Dividend Strategy (*QDG)</v>
      </c>
      <c r="C13" s="2">
        <v>3.2199999999999999E-2</v>
      </c>
      <c r="D13" t="str">
        <f>"XOM"</f>
        <v>XOM</v>
      </c>
      <c r="E13" t="str">
        <f>"30231G102"</f>
        <v>30231G102</v>
      </c>
      <c r="F13" t="str">
        <f>"Exxon Mobil"</f>
        <v>Exxon Mobil</v>
      </c>
      <c r="G13" s="3">
        <v>473</v>
      </c>
    </row>
    <row r="14" spans="1:7" x14ac:dyDescent="0.25">
      <c r="A14" s="1">
        <v>46080</v>
      </c>
      <c r="B14" t="str">
        <f t="shared" si="0"/>
        <v>*Quality Dividend Strategy (*QDG)</v>
      </c>
      <c r="C14" s="2">
        <v>3.1099999999999999E-2</v>
      </c>
      <c r="D14" t="str">
        <f>"GD"</f>
        <v>GD</v>
      </c>
      <c r="E14">
        <v>369550108</v>
      </c>
      <c r="F14" t="str">
        <f>"General Dynamics"</f>
        <v>General Dynamics</v>
      </c>
      <c r="G14" s="3">
        <v>195</v>
      </c>
    </row>
    <row r="15" spans="1:7" x14ac:dyDescent="0.25">
      <c r="A15" s="1">
        <v>46080</v>
      </c>
      <c r="B15" t="str">
        <f t="shared" si="0"/>
        <v>*Quality Dividend Strategy (*QDG)</v>
      </c>
      <c r="C15" s="2">
        <v>1.4800000000000001E-2</v>
      </c>
      <c r="D15" t="str">
        <f>"HD"</f>
        <v>HD</v>
      </c>
      <c r="E15">
        <v>437076102</v>
      </c>
      <c r="F15" t="str">
        <f>"Home Depot"</f>
        <v>Home Depot</v>
      </c>
      <c r="G15" s="3">
        <v>87</v>
      </c>
    </row>
    <row r="16" spans="1:7" x14ac:dyDescent="0.25">
      <c r="A16" s="1">
        <v>46080</v>
      </c>
      <c r="B16" t="str">
        <f t="shared" si="0"/>
        <v>*Quality Dividend Strategy (*QDG)</v>
      </c>
      <c r="C16" s="2">
        <v>3.6299999999999999E-2</v>
      </c>
      <c r="D16" t="str">
        <f>"JNJ"</f>
        <v>JNJ</v>
      </c>
      <c r="E16">
        <v>478160104</v>
      </c>
      <c r="F16" t="str">
        <f>"Johnson &amp; Johnson"</f>
        <v>Johnson &amp; Johnson</v>
      </c>
      <c r="G16" s="3">
        <v>327</v>
      </c>
    </row>
    <row r="17" spans="1:7" x14ac:dyDescent="0.25">
      <c r="A17" s="1">
        <v>46080</v>
      </c>
      <c r="B17" t="str">
        <f t="shared" si="0"/>
        <v>*Quality Dividend Strategy (*QDG)</v>
      </c>
      <c r="C17" s="2">
        <v>2.5100000000000001E-2</v>
      </c>
      <c r="D17" t="str">
        <f>"JPM"</f>
        <v>JPM</v>
      </c>
      <c r="E17" t="str">
        <f>"46625H100"</f>
        <v>46625H100</v>
      </c>
      <c r="F17" t="str">
        <f>"JPMorgan Chase"</f>
        <v>JPMorgan Chase</v>
      </c>
      <c r="G17" s="3">
        <v>187</v>
      </c>
    </row>
    <row r="18" spans="1:7" x14ac:dyDescent="0.25">
      <c r="A18" s="1">
        <v>46080</v>
      </c>
      <c r="B18" t="str">
        <f t="shared" si="0"/>
        <v>*Quality Dividend Strategy (*QDG)</v>
      </c>
      <c r="C18" s="2">
        <v>2.58E-2</v>
      </c>
      <c r="D18" t="str">
        <f>"MKC"</f>
        <v>MKC</v>
      </c>
      <c r="E18">
        <v>579780206</v>
      </c>
      <c r="F18" t="str">
        <f>"McCormick &amp; Co."</f>
        <v>McCormick &amp; Co.</v>
      </c>
      <c r="G18" s="3">
        <v>812</v>
      </c>
    </row>
    <row r="19" spans="1:7" x14ac:dyDescent="0.25">
      <c r="A19" s="1">
        <v>46080</v>
      </c>
      <c r="B19" t="str">
        <f t="shared" si="0"/>
        <v>*Quality Dividend Strategy (*QDG)</v>
      </c>
      <c r="C19" s="2">
        <v>2.4199999999999999E-2</v>
      </c>
      <c r="D19" t="str">
        <f>"MDT"</f>
        <v>MDT</v>
      </c>
      <c r="E19" t="str">
        <f>"G5960L103"</f>
        <v>G5960L103</v>
      </c>
      <c r="F19" t="str">
        <f>"Medtronic"</f>
        <v>Medtronic</v>
      </c>
      <c r="G19" s="3">
        <v>555</v>
      </c>
    </row>
    <row r="20" spans="1:7" x14ac:dyDescent="0.25">
      <c r="A20" s="1">
        <v>46080</v>
      </c>
      <c r="B20" t="str">
        <f t="shared" si="0"/>
        <v>*Quality Dividend Strategy (*QDG)</v>
      </c>
      <c r="C20" s="2">
        <v>2.4199999999999999E-2</v>
      </c>
      <c r="D20" t="str">
        <f>"MSFT"</f>
        <v>MSFT</v>
      </c>
      <c r="E20">
        <v>594918104</v>
      </c>
      <c r="F20" t="str">
        <f>"Microsoft"</f>
        <v>Microsoft</v>
      </c>
      <c r="G20" s="3">
        <v>138</v>
      </c>
    </row>
    <row r="21" spans="1:7" x14ac:dyDescent="0.25">
      <c r="A21" s="1">
        <v>46080</v>
      </c>
      <c r="B21" t="str">
        <f t="shared" si="0"/>
        <v>*Quality Dividend Strategy (*QDG)</v>
      </c>
      <c r="C21" s="2">
        <v>1.6E-2</v>
      </c>
      <c r="D21" t="str">
        <f>"NKE"</f>
        <v>NKE</v>
      </c>
      <c r="E21">
        <v>654106103</v>
      </c>
      <c r="F21" t="str">
        <f>"Nike"</f>
        <v>Nike</v>
      </c>
      <c r="G21" s="3">
        <v>575</v>
      </c>
    </row>
    <row r="22" spans="1:7" x14ac:dyDescent="0.25">
      <c r="A22" s="1">
        <v>46080</v>
      </c>
      <c r="B22" t="str">
        <f t="shared" si="0"/>
        <v>*Quality Dividend Strategy (*QDG)</v>
      </c>
      <c r="C22" s="2">
        <v>1.8200000000000001E-2</v>
      </c>
      <c r="D22" t="str">
        <f>"NVO"</f>
        <v>NVO</v>
      </c>
      <c r="E22">
        <v>670100205</v>
      </c>
      <c r="F22" t="str">
        <f>"Novo Nordisk"</f>
        <v>Novo Nordisk</v>
      </c>
      <c r="G22" s="3">
        <v>1087</v>
      </c>
    </row>
    <row r="23" spans="1:7" x14ac:dyDescent="0.25">
      <c r="A23" s="1">
        <v>46080</v>
      </c>
      <c r="B23" t="str">
        <f t="shared" si="0"/>
        <v>*Quality Dividend Strategy (*QDG)</v>
      </c>
      <c r="C23" s="2">
        <v>2.5100000000000001E-2</v>
      </c>
      <c r="D23" t="str">
        <f>"PEP"</f>
        <v>PEP</v>
      </c>
      <c r="E23">
        <v>713448108</v>
      </c>
      <c r="F23" t="str">
        <f>"Pepsi"</f>
        <v>Pepsi</v>
      </c>
      <c r="G23" s="3">
        <v>331</v>
      </c>
    </row>
    <row r="24" spans="1:7" x14ac:dyDescent="0.25">
      <c r="A24" s="1">
        <v>46080</v>
      </c>
      <c r="B24" t="str">
        <f t="shared" si="0"/>
        <v>*Quality Dividend Strategy (*QDG)</v>
      </c>
      <c r="C24" s="2">
        <v>1.8599999999999998E-2</v>
      </c>
      <c r="D24" t="str">
        <f>"PFE"</f>
        <v>PFE</v>
      </c>
      <c r="E24">
        <v>717081103</v>
      </c>
      <c r="F24" t="str">
        <f>"Pfizer"</f>
        <v>Pfizer</v>
      </c>
      <c r="G24" s="3">
        <v>1504</v>
      </c>
    </row>
    <row r="25" spans="1:7" x14ac:dyDescent="0.25">
      <c r="A25" s="1">
        <v>46080</v>
      </c>
      <c r="B25" t="str">
        <f t="shared" si="0"/>
        <v>*Quality Dividend Strategy (*QDG)</v>
      </c>
      <c r="C25" s="2">
        <v>2.07E-2</v>
      </c>
      <c r="D25" t="str">
        <f>"PSX"</f>
        <v>PSX</v>
      </c>
      <c r="E25">
        <v>718546104</v>
      </c>
      <c r="F25" t="str">
        <f>"Phillips 66"</f>
        <v>Phillips 66</v>
      </c>
      <c r="G25" s="3">
        <v>301</v>
      </c>
    </row>
    <row r="26" spans="1:7" x14ac:dyDescent="0.25">
      <c r="A26" s="1">
        <v>46080</v>
      </c>
      <c r="B26" t="str">
        <f t="shared" si="0"/>
        <v>*Quality Dividend Strategy (*QDG)</v>
      </c>
      <c r="C26" s="2">
        <v>2.2599999999999999E-2</v>
      </c>
      <c r="D26" t="str">
        <f>"POR"</f>
        <v>POR</v>
      </c>
      <c r="E26">
        <v>736508847</v>
      </c>
      <c r="F26" t="str">
        <f>"Portland General Electric Co"</f>
        <v>Portland General Electric Co</v>
      </c>
      <c r="G26" s="3">
        <v>938</v>
      </c>
    </row>
    <row r="27" spans="1:7" x14ac:dyDescent="0.25">
      <c r="A27" s="1">
        <v>46080</v>
      </c>
      <c r="B27" t="str">
        <f t="shared" si="0"/>
        <v>*Quality Dividend Strategy (*QDG)</v>
      </c>
      <c r="C27" s="2">
        <v>0.02</v>
      </c>
      <c r="D27" t="str">
        <f>"PG"</f>
        <v>PG</v>
      </c>
      <c r="E27">
        <v>742718109</v>
      </c>
      <c r="F27" t="str">
        <f>"Procter &amp; Gamble"</f>
        <v>Procter &amp; Gamble</v>
      </c>
      <c r="G27" s="3">
        <v>268</v>
      </c>
    </row>
    <row r="28" spans="1:7" x14ac:dyDescent="0.25">
      <c r="A28" s="1">
        <v>46080</v>
      </c>
      <c r="B28" t="str">
        <f t="shared" si="0"/>
        <v>*Quality Dividend Strategy (*QDG)</v>
      </c>
      <c r="C28" s="2">
        <v>2.58E-2</v>
      </c>
      <c r="D28" t="str">
        <f>"O"</f>
        <v>O</v>
      </c>
      <c r="E28">
        <v>756109104</v>
      </c>
      <c r="F28" t="str">
        <f>"Realty Income"</f>
        <v>Realty Income</v>
      </c>
      <c r="G28" s="3">
        <v>864</v>
      </c>
    </row>
    <row r="29" spans="1:7" x14ac:dyDescent="0.25">
      <c r="A29" s="1">
        <v>46080</v>
      </c>
      <c r="B29" t="str">
        <f t="shared" si="0"/>
        <v>*Quality Dividend Strategy (*QDG)</v>
      </c>
      <c r="C29" s="2">
        <v>2.0799999999999999E-2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 s="3">
        <v>216</v>
      </c>
    </row>
    <row r="30" spans="1:7" x14ac:dyDescent="0.25">
      <c r="A30" s="1">
        <v>46080</v>
      </c>
      <c r="B30" t="str">
        <f t="shared" si="0"/>
        <v>*Quality Dividend Strategy (*QDG)</v>
      </c>
      <c r="C30" s="2">
        <v>8.6999999999999994E-3</v>
      </c>
      <c r="D30" t="str">
        <f>"RHI"</f>
        <v>RHI</v>
      </c>
      <c r="E30">
        <v>770323103</v>
      </c>
      <c r="F30" t="str">
        <f>"Robert Half International"</f>
        <v>Robert Half International</v>
      </c>
      <c r="G30" s="3">
        <v>794</v>
      </c>
    </row>
    <row r="31" spans="1:7" x14ac:dyDescent="0.25">
      <c r="A31" s="1">
        <v>46080</v>
      </c>
      <c r="B31" t="str">
        <f t="shared" si="0"/>
        <v>*Quality Dividend Strategy (*QDG)</v>
      </c>
      <c r="C31" s="2">
        <v>1.7999999999999999E-2</v>
      </c>
      <c r="D31" t="str">
        <f>"TROW"</f>
        <v>TROW</v>
      </c>
      <c r="E31" t="str">
        <f>"74144T108"</f>
        <v>74144T108</v>
      </c>
      <c r="F31" t="str">
        <f>"T. Rowe Price"</f>
        <v>T. Rowe Price</v>
      </c>
      <c r="G31" s="3">
        <v>426</v>
      </c>
    </row>
    <row r="32" spans="1:7" x14ac:dyDescent="0.25">
      <c r="A32" s="1">
        <v>46080</v>
      </c>
      <c r="B32" t="str">
        <f t="shared" si="0"/>
        <v>*Quality Dividend Strategy (*QDG)</v>
      </c>
      <c r="C32" s="2">
        <v>2.8299999999999999E-2</v>
      </c>
      <c r="D32" t="str">
        <f>"TXN"</f>
        <v>TXN</v>
      </c>
      <c r="E32">
        <v>882508104</v>
      </c>
      <c r="F32" t="str">
        <f>"Texas Instruments"</f>
        <v>Texas Instruments</v>
      </c>
      <c r="G32" s="3">
        <v>299</v>
      </c>
    </row>
    <row r="33" spans="1:7" x14ac:dyDescent="0.25">
      <c r="A33" s="1">
        <v>46080</v>
      </c>
      <c r="B33" t="str">
        <f t="shared" si="0"/>
        <v>*Quality Dividend Strategy (*QDG)</v>
      </c>
      <c r="C33" s="2">
        <v>1.9900000000000001E-2</v>
      </c>
      <c r="D33" t="str">
        <f>"TTE"</f>
        <v>TTE</v>
      </c>
      <c r="E33" t="str">
        <f>"F92124100"</f>
        <v>F92124100</v>
      </c>
      <c r="F33" t="str">
        <f>"Total SA"</f>
        <v>Total SA</v>
      </c>
      <c r="G33" s="3">
        <v>556</v>
      </c>
    </row>
    <row r="34" spans="1:7" x14ac:dyDescent="0.25">
      <c r="A34" s="1">
        <v>46080</v>
      </c>
      <c r="B34" t="str">
        <f t="shared" si="0"/>
        <v>*Quality Dividend Strategy (*QDG)</v>
      </c>
      <c r="C34" s="2">
        <v>2.9600000000000001E-2</v>
      </c>
      <c r="D34" t="str">
        <f>"UL"</f>
        <v>UL</v>
      </c>
      <c r="E34">
        <v>904767803</v>
      </c>
      <c r="F34" t="str">
        <f>"Unilever PLC"</f>
        <v>Unilever PLC</v>
      </c>
      <c r="G34" s="3">
        <v>898</v>
      </c>
    </row>
    <row r="35" spans="1:7" x14ac:dyDescent="0.25">
      <c r="A35" s="1">
        <v>46080</v>
      </c>
      <c r="B35" t="str">
        <f t="shared" si="0"/>
        <v>*Quality Dividend Strategy (*QDG)</v>
      </c>
      <c r="C35" s="2">
        <v>2.52E-2</v>
      </c>
      <c r="D35" t="str">
        <f>"UNP"</f>
        <v>UNP</v>
      </c>
      <c r="E35">
        <v>907818108</v>
      </c>
      <c r="F35" t="str">
        <f>"Union Pacific"</f>
        <v>Union Pacific</v>
      </c>
      <c r="G35" s="3">
        <v>213</v>
      </c>
    </row>
    <row r="36" spans="1:7" x14ac:dyDescent="0.25">
      <c r="A36" s="1">
        <v>46080</v>
      </c>
      <c r="B36" t="str">
        <f t="shared" si="0"/>
        <v>*Quality Dividend Strategy (*QDG)</v>
      </c>
      <c r="C36" s="2">
        <v>2.1000000000000001E-2</v>
      </c>
      <c r="D36" t="str">
        <f>"UPS"</f>
        <v>UPS</v>
      </c>
      <c r="E36">
        <v>911312106</v>
      </c>
      <c r="F36" t="str">
        <f>"United Parcel Service"</f>
        <v>United Parcel Service</v>
      </c>
      <c r="G36" s="3">
        <v>405</v>
      </c>
    </row>
    <row r="37" spans="1:7" x14ac:dyDescent="0.25">
      <c r="A37" s="1">
        <v>46080</v>
      </c>
      <c r="B37" t="str">
        <f t="shared" si="0"/>
        <v>*Quality Dividend Strategy (*QDG)</v>
      </c>
      <c r="C37" s="2">
        <v>2.06E-2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 s="3">
        <v>920</v>
      </c>
    </row>
    <row r="38" spans="1:7" x14ac:dyDescent="0.25">
      <c r="A38" s="1">
        <v>46080</v>
      </c>
      <c r="B38" t="str">
        <f t="shared" si="0"/>
        <v>*Quality Dividend Strategy (*QDG)</v>
      </c>
      <c r="C38" s="2">
        <v>8.5500000000000007E-2</v>
      </c>
      <c r="D38" t="str">
        <f>"CASH"</f>
        <v>CASH</v>
      </c>
      <c r="E38" t="str">
        <f>""</f>
        <v/>
      </c>
      <c r="F38" t="str">
        <f>"Cash"</f>
        <v>Cash</v>
      </c>
      <c r="G38" s="3">
        <v>191434.61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3DFD-205B-4DC0-91C9-3CDBA1266AE3}">
  <dimension ref="A1:G2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6.7109375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10.7109375" bestFit="1" customWidth="1"/>
  </cols>
  <sheetData>
    <row r="1" spans="1: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</row>
    <row r="2" spans="1:7" x14ac:dyDescent="0.25">
      <c r="A2" s="1">
        <v>46080</v>
      </c>
      <c r="B2" t="str">
        <f>"*Quality SMID Dividend Strategy (*SMID)"</f>
        <v>*Quality SMID Dividend Strategy (*SMID)</v>
      </c>
      <c r="C2" s="2">
        <v>3.44E-2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 s="3">
        <v>710</v>
      </c>
    </row>
    <row r="3" spans="1:7" x14ac:dyDescent="0.25">
      <c r="A3" s="1">
        <v>46080</v>
      </c>
      <c r="B3" t="str">
        <f>"*Quality SMID Dividend Strategy (*SMID)"</f>
        <v>*Quality SMID Dividend Strategy (*SMID)</v>
      </c>
      <c r="C3" s="2">
        <v>5.0799999999999998E-2</v>
      </c>
      <c r="D3" t="str">
        <f>"BKH"</f>
        <v>BKH</v>
      </c>
      <c r="E3" t="str">
        <f>"092113109"</f>
        <v>092113109</v>
      </c>
      <c r="F3" t="str">
        <f>"Black Hills"</f>
        <v>Black Hills</v>
      </c>
      <c r="G3" s="3">
        <v>1781</v>
      </c>
    </row>
    <row r="4" spans="1:7" x14ac:dyDescent="0.25">
      <c r="A4" s="1">
        <v>46080</v>
      </c>
      <c r="B4" t="str">
        <f>"*Quality SMID Dividend Strategy (*SMID)"</f>
        <v>*Quality SMID Dividend Strategy (*SMID)</v>
      </c>
      <c r="C4" s="2">
        <v>4.2500000000000003E-2</v>
      </c>
      <c r="D4" t="str">
        <f>"COR"</f>
        <v>COR</v>
      </c>
      <c r="E4" t="str">
        <f>"03073E105"</f>
        <v>03073E105</v>
      </c>
      <c r="F4" t="str">
        <f>"Cencora"</f>
        <v>Cencora</v>
      </c>
      <c r="G4" s="3">
        <v>295</v>
      </c>
    </row>
    <row r="5" spans="1:7" x14ac:dyDescent="0.25">
      <c r="A5" s="1">
        <v>46080</v>
      </c>
      <c r="B5" t="str">
        <f>"*Quality SMID Dividend Strategy (*SMID)"</f>
        <v>*Quality SMID Dividend Strategy (*SMID)</v>
      </c>
      <c r="C5" s="2">
        <v>2.76E-2</v>
      </c>
      <c r="D5" t="str">
        <f>"CNP"</f>
        <v>CNP</v>
      </c>
      <c r="E5" t="str">
        <f>"15189T107"</f>
        <v>15189T107</v>
      </c>
      <c r="F5" t="str">
        <f>"CenterPoint Energy"</f>
        <v>CenterPoint Energy</v>
      </c>
      <c r="G5" s="3">
        <v>1641</v>
      </c>
    </row>
    <row r="6" spans="1:7" x14ac:dyDescent="0.25">
      <c r="A6" s="1">
        <v>46080</v>
      </c>
      <c r="B6" t="str">
        <f>"*Quality SMID Dividend Strategy (*SMID)"</f>
        <v>*Quality SMID Dividend Strategy (*SMID)</v>
      </c>
      <c r="C6" s="2">
        <v>5.33E-2</v>
      </c>
      <c r="D6" t="str">
        <f>"CLX"</f>
        <v>CLX</v>
      </c>
      <c r="E6">
        <v>189054109</v>
      </c>
      <c r="F6" t="str">
        <f>"Clorox"</f>
        <v>Clorox</v>
      </c>
      <c r="G6" s="3">
        <v>1082</v>
      </c>
    </row>
    <row r="7" spans="1:7" x14ac:dyDescent="0.25">
      <c r="A7" s="1">
        <v>46080</v>
      </c>
      <c r="B7" t="str">
        <f>"*Quality SMID Dividend Strategy (*SMID)"</f>
        <v>*Quality SMID Dividend Strategy (*SMID)</v>
      </c>
      <c r="C7" s="2">
        <v>5.1999999999999998E-2</v>
      </c>
      <c r="D7" t="str">
        <f>"CFR"</f>
        <v>CFR</v>
      </c>
      <c r="E7">
        <v>229899109</v>
      </c>
      <c r="F7" t="str">
        <f>"Cullen/Frost Bankers"</f>
        <v>Cullen/Frost Bankers</v>
      </c>
      <c r="G7" s="3">
        <v>971</v>
      </c>
    </row>
    <row r="8" spans="1:7" x14ac:dyDescent="0.25">
      <c r="A8" s="1">
        <v>46080</v>
      </c>
      <c r="B8" t="str">
        <f>"*Quality SMID Dividend Strategy (*SMID)"</f>
        <v>*Quality SMID Dividend Strategy (*SMID)</v>
      </c>
      <c r="C8" s="2">
        <v>5.0599999999999999E-2</v>
      </c>
      <c r="D8" t="str">
        <f>"DVN"</f>
        <v>DVN</v>
      </c>
      <c r="E8" t="str">
        <f>"25179M103"</f>
        <v>25179M103</v>
      </c>
      <c r="F8" t="str">
        <f>"Devon Energy"</f>
        <v>Devon Energy</v>
      </c>
      <c r="G8" s="3">
        <v>3004</v>
      </c>
    </row>
    <row r="9" spans="1:7" x14ac:dyDescent="0.25">
      <c r="A9" s="1">
        <v>46080</v>
      </c>
      <c r="B9" t="str">
        <f>"*Quality SMID Dividend Strategy (*SMID)"</f>
        <v>*Quality SMID Dividend Strategy (*SMID)</v>
      </c>
      <c r="C9" s="2">
        <v>3.4500000000000003E-2</v>
      </c>
      <c r="D9" t="str">
        <f>"EMN"</f>
        <v>EMN</v>
      </c>
      <c r="E9">
        <v>277432100</v>
      </c>
      <c r="F9" t="str">
        <f>"Eastman Chemical"</f>
        <v>Eastman Chemical</v>
      </c>
      <c r="G9" s="3">
        <v>1179</v>
      </c>
    </row>
    <row r="10" spans="1:7" x14ac:dyDescent="0.25">
      <c r="A10" s="1">
        <v>46080</v>
      </c>
      <c r="B10" t="str">
        <f>"*Quality SMID Dividend Strategy (*SMID)"</f>
        <v>*Quality SMID Dividend Strategy (*SMID)</v>
      </c>
      <c r="C10" s="2">
        <v>3.1199999999999999E-2</v>
      </c>
      <c r="D10" t="str">
        <f>"HRL"</f>
        <v>HRL</v>
      </c>
      <c r="E10">
        <v>440452100</v>
      </c>
      <c r="F10" t="str">
        <f>"Hormel Foods"</f>
        <v>Hormel Foods</v>
      </c>
      <c r="G10" s="3">
        <v>3150</v>
      </c>
    </row>
    <row r="11" spans="1:7" x14ac:dyDescent="0.25">
      <c r="A11" s="1">
        <v>46080</v>
      </c>
      <c r="B11" t="str">
        <f>"*Quality SMID Dividend Strategy (*SMID)"</f>
        <v>*Quality SMID Dividend Strategy (*SMID)</v>
      </c>
      <c r="C11" s="2">
        <v>2.5100000000000001E-2</v>
      </c>
      <c r="D11" t="str">
        <f>"HII"</f>
        <v>HII</v>
      </c>
      <c r="E11">
        <v>446413106</v>
      </c>
      <c r="F11" t="str">
        <f>"Huntington Ingalls"</f>
        <v>Huntington Ingalls</v>
      </c>
      <c r="G11" s="3">
        <v>146</v>
      </c>
    </row>
    <row r="12" spans="1:7" x14ac:dyDescent="0.25">
      <c r="A12" s="1">
        <v>46080</v>
      </c>
      <c r="B12" t="str">
        <f>"*Quality SMID Dividend Strategy (*SMID)"</f>
        <v>*Quality SMID Dividend Strategy (*SMID)</v>
      </c>
      <c r="C12" s="2">
        <v>2.6599999999999999E-2</v>
      </c>
      <c r="D12" t="str">
        <f>"INGR"</f>
        <v>INGR</v>
      </c>
      <c r="E12">
        <v>457187102</v>
      </c>
      <c r="F12" t="str">
        <f>"Ingredion"</f>
        <v>Ingredion</v>
      </c>
      <c r="G12" s="3">
        <v>586</v>
      </c>
    </row>
    <row r="13" spans="1:7" x14ac:dyDescent="0.25">
      <c r="A13" s="1">
        <v>46080</v>
      </c>
      <c r="B13" t="str">
        <f>"*Quality SMID Dividend Strategy (*SMID)"</f>
        <v>*Quality SMID Dividend Strategy (*SMID)</v>
      </c>
      <c r="C13" s="2">
        <v>4.4200000000000003E-2</v>
      </c>
      <c r="D13" t="str">
        <f>"JKHY"</f>
        <v>JKHY</v>
      </c>
      <c r="E13">
        <v>426281101</v>
      </c>
      <c r="F13" t="str">
        <f>"Jack Henry &amp; Associates"</f>
        <v>Jack Henry &amp; Associates</v>
      </c>
      <c r="G13" s="3">
        <v>703</v>
      </c>
    </row>
    <row r="14" spans="1:7" x14ac:dyDescent="0.25">
      <c r="A14" s="1">
        <v>46080</v>
      </c>
      <c r="B14" t="str">
        <f>"*Quality SMID Dividend Strategy (*SMID)"</f>
        <v>*Quality SMID Dividend Strategy (*SMID)</v>
      </c>
      <c r="C14" s="2">
        <v>3.6299999999999999E-2</v>
      </c>
      <c r="D14" t="str">
        <f>"LECO"</f>
        <v>LECO</v>
      </c>
      <c r="E14">
        <v>533900106</v>
      </c>
      <c r="F14" t="str">
        <f>"Lincoln Electric"</f>
        <v>Lincoln Electric</v>
      </c>
      <c r="G14" s="3">
        <v>327</v>
      </c>
    </row>
    <row r="15" spans="1:7" x14ac:dyDescent="0.25">
      <c r="A15" s="1">
        <v>46080</v>
      </c>
      <c r="B15" t="str">
        <f>"*Quality SMID Dividend Strategy (*SMID)"</f>
        <v>*Quality SMID Dividend Strategy (*SMID)</v>
      </c>
      <c r="C15" s="2">
        <v>4.3700000000000003E-2</v>
      </c>
      <c r="D15" t="str">
        <f>"MKC"</f>
        <v>MKC</v>
      </c>
      <c r="E15">
        <v>579780206</v>
      </c>
      <c r="F15" t="str">
        <f>"McCormick &amp; Co."</f>
        <v>McCormick &amp; Co.</v>
      </c>
      <c r="G15" s="3">
        <v>1588</v>
      </c>
    </row>
    <row r="16" spans="1:7" x14ac:dyDescent="0.25">
      <c r="A16" s="1">
        <v>46080</v>
      </c>
      <c r="B16" t="str">
        <f>"*Quality SMID Dividend Strategy (*SMID)"</f>
        <v>*Quality SMID Dividend Strategy (*SMID)</v>
      </c>
      <c r="C16" s="2">
        <v>4.0599999999999997E-2</v>
      </c>
      <c r="D16" t="str">
        <f>"MSM"</f>
        <v>MSM</v>
      </c>
      <c r="E16">
        <v>553530106</v>
      </c>
      <c r="F16" t="str">
        <f>"MSC Industrial"</f>
        <v>MSC Industrial</v>
      </c>
      <c r="G16" s="3">
        <v>1117</v>
      </c>
    </row>
    <row r="17" spans="1:7" x14ac:dyDescent="0.25">
      <c r="A17" s="1">
        <v>46080</v>
      </c>
      <c r="B17" t="str">
        <f>"*Quality SMID Dividend Strategy (*SMID)"</f>
        <v>*Quality SMID Dividend Strategy (*SMID)</v>
      </c>
      <c r="C17" s="2">
        <v>3.1800000000000002E-2</v>
      </c>
      <c r="D17" t="str">
        <f>"PAYX"</f>
        <v>PAYX</v>
      </c>
      <c r="E17">
        <v>704326107</v>
      </c>
      <c r="F17" t="str">
        <f>"Paychex"</f>
        <v>Paychex</v>
      </c>
      <c r="G17" s="3">
        <v>878</v>
      </c>
    </row>
    <row r="18" spans="1:7" x14ac:dyDescent="0.25">
      <c r="A18" s="1">
        <v>46080</v>
      </c>
      <c r="B18" t="str">
        <f>"*Quality SMID Dividend Strategy (*SMID)"</f>
        <v>*Quality SMID Dividend Strategy (*SMID)</v>
      </c>
      <c r="C18" s="2">
        <v>3.7600000000000001E-2</v>
      </c>
      <c r="D18" t="str">
        <f>"POR"</f>
        <v>POR</v>
      </c>
      <c r="E18">
        <v>736508847</v>
      </c>
      <c r="F18" t="str">
        <f>"Portland General Electric Co"</f>
        <v>Portland General Electric Co</v>
      </c>
      <c r="G18" s="3">
        <v>1798</v>
      </c>
    </row>
    <row r="19" spans="1:7" x14ac:dyDescent="0.25">
      <c r="A19" s="1">
        <v>46080</v>
      </c>
      <c r="B19" t="str">
        <f>"*Quality SMID Dividend Strategy (*SMID)"</f>
        <v>*Quality SMID Dividend Strategy (*SMID)</v>
      </c>
      <c r="C19" s="2">
        <v>2.9700000000000001E-2</v>
      </c>
      <c r="D19" t="str">
        <f>"PFG"</f>
        <v>PFG</v>
      </c>
      <c r="E19" t="str">
        <f>"74251V102"</f>
        <v>74251V102</v>
      </c>
      <c r="F19" t="str">
        <f>"Principal Financial"</f>
        <v>Principal Financial</v>
      </c>
      <c r="G19" s="3">
        <v>804</v>
      </c>
    </row>
    <row r="20" spans="1:7" x14ac:dyDescent="0.25">
      <c r="A20" s="1">
        <v>46080</v>
      </c>
      <c r="B20" t="str">
        <f>"*Quality SMID Dividend Strategy (*SMID)"</f>
        <v>*Quality SMID Dividend Strategy (*SMID)</v>
      </c>
      <c r="C20" s="2">
        <v>4.5600000000000002E-2</v>
      </c>
      <c r="D20" t="str">
        <f>"DGX"</f>
        <v>DGX</v>
      </c>
      <c r="E20" t="str">
        <f>"74834L100"</f>
        <v>74834L100</v>
      </c>
      <c r="F20" t="str">
        <f>"Quest Diagnostics"</f>
        <v>Quest Diagnostics</v>
      </c>
      <c r="G20" s="3">
        <v>556</v>
      </c>
    </row>
    <row r="21" spans="1:7" x14ac:dyDescent="0.25">
      <c r="A21" s="1">
        <v>46080</v>
      </c>
      <c r="B21" t="str">
        <f>"*Quality SMID Dividend Strategy (*SMID)"</f>
        <v>*Quality SMID Dividend Strategy (*SMID)</v>
      </c>
      <c r="C21" s="2">
        <v>3.7600000000000001E-2</v>
      </c>
      <c r="D21" t="str">
        <f>"RGA"</f>
        <v>RGA</v>
      </c>
      <c r="E21">
        <v>759351604</v>
      </c>
      <c r="F21" t="str">
        <f>"Reinsurance Group of America"</f>
        <v>Reinsurance Group of America</v>
      </c>
      <c r="G21" s="3">
        <v>450</v>
      </c>
    </row>
    <row r="22" spans="1:7" x14ac:dyDescent="0.25">
      <c r="A22" s="1">
        <v>46080</v>
      </c>
      <c r="B22" t="str">
        <f>"*Quality SMID Dividend Strategy (*SMID)"</f>
        <v>*Quality SMID Dividend Strategy (*SMID)</v>
      </c>
      <c r="C22" s="2">
        <v>1.43E-2</v>
      </c>
      <c r="D22" t="str">
        <f>"RHI"</f>
        <v>RHI</v>
      </c>
      <c r="E22">
        <v>770323103</v>
      </c>
      <c r="F22" t="str">
        <f>"Robert Half International"</f>
        <v>Robert Half International</v>
      </c>
      <c r="G22" s="3">
        <v>1516</v>
      </c>
    </row>
    <row r="23" spans="1:7" x14ac:dyDescent="0.25">
      <c r="A23" s="1">
        <v>46080</v>
      </c>
      <c r="B23" t="str">
        <f>"*Quality SMID Dividend Strategy (*SMID)"</f>
        <v>*Quality SMID Dividend Strategy (*SMID)</v>
      </c>
      <c r="C23" s="2">
        <v>3.2099999999999997E-2</v>
      </c>
      <c r="D23" t="str">
        <f>"SNA"</f>
        <v>SNA</v>
      </c>
      <c r="E23">
        <v>833034101</v>
      </c>
      <c r="F23" t="str">
        <f>"Snap-On"</f>
        <v>Snap-On</v>
      </c>
      <c r="G23" s="3">
        <v>215</v>
      </c>
    </row>
    <row r="24" spans="1:7" x14ac:dyDescent="0.25">
      <c r="A24" s="1">
        <v>46080</v>
      </c>
      <c r="B24" t="str">
        <f>"*Quality SMID Dividend Strategy (*SMID)"</f>
        <v>*Quality SMID Dividend Strategy (*SMID)</v>
      </c>
      <c r="C24" s="2">
        <v>3.0499999999999999E-2</v>
      </c>
      <c r="D24" t="str">
        <f>"SWK"</f>
        <v>SWK</v>
      </c>
      <c r="E24">
        <v>854502101</v>
      </c>
      <c r="F24" t="str">
        <f>"Stanley Black &amp; Decker"</f>
        <v>Stanley Black &amp; Decker</v>
      </c>
      <c r="G24" s="3">
        <v>910</v>
      </c>
    </row>
    <row r="25" spans="1:7" x14ac:dyDescent="0.25">
      <c r="A25" s="1">
        <v>46080</v>
      </c>
      <c r="B25" t="str">
        <f>"*Quality SMID Dividend Strategy (*SMID)"</f>
        <v>*Quality SMID Dividend Strategy (*SMID)</v>
      </c>
      <c r="C25" s="2">
        <v>2.7699999999999999E-2</v>
      </c>
      <c r="D25" t="str">
        <f>"TROW"</f>
        <v>TROW</v>
      </c>
      <c r="E25" t="str">
        <f>"74144T108"</f>
        <v>74144T108</v>
      </c>
      <c r="F25" t="str">
        <f>"T. Rowe Price"</f>
        <v>T. Rowe Price</v>
      </c>
      <c r="G25" s="3">
        <v>756</v>
      </c>
    </row>
    <row r="26" spans="1:7" x14ac:dyDescent="0.25">
      <c r="A26" s="1">
        <v>46080</v>
      </c>
      <c r="B26" t="str">
        <f>"*Quality SMID Dividend Strategy (*SMID)"</f>
        <v>*Quality SMID Dividend Strategy (*SMID)</v>
      </c>
      <c r="C26" s="2">
        <v>0.1197</v>
      </c>
      <c r="D26" t="str">
        <f>"CASH"</f>
        <v>CASH</v>
      </c>
      <c r="E26" t="str">
        <f>""</f>
        <v/>
      </c>
      <c r="F26" t="str">
        <f>"Cash"</f>
        <v>Cash</v>
      </c>
      <c r="G26" s="3">
        <v>309272.84000000003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0DB3C-5B34-485E-9901-70ECB471FBE6}">
  <dimension ref="A1:G48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8" bestFit="1" customWidth="1"/>
    <col min="3" max="3" width="7.140625" bestFit="1" customWidth="1"/>
    <col min="4" max="4" width="7.42578125" bestFit="1" customWidth="1"/>
    <col min="5" max="5" width="10.7109375" bestFit="1" customWidth="1"/>
    <col min="6" max="6" width="28.28515625" bestFit="1" customWidth="1"/>
    <col min="7" max="7" width="10.7109375" bestFit="1" customWidth="1"/>
  </cols>
  <sheetData>
    <row r="1" spans="1: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</row>
    <row r="2" spans="1:7" x14ac:dyDescent="0.25">
      <c r="A2" s="1">
        <v>46080</v>
      </c>
      <c r="B2" t="str">
        <f>"*Quality All-Cap Dividend Strategy (*DAC)"</f>
        <v>*Quality All-Cap Dividend Strategy (*DAC)</v>
      </c>
      <c r="C2" s="2">
        <v>1.34E-2</v>
      </c>
      <c r="D2" t="str">
        <f>"ALSN"</f>
        <v>ALSN</v>
      </c>
      <c r="E2" t="str">
        <f>"01973R101"</f>
        <v>01973R101</v>
      </c>
      <c r="F2" t="str">
        <f>"Allison Transmission"</f>
        <v>Allison Transmission</v>
      </c>
      <c r="G2" s="3">
        <v>310</v>
      </c>
    </row>
    <row r="3" spans="1:7" x14ac:dyDescent="0.25">
      <c r="A3" s="1">
        <v>46080</v>
      </c>
      <c r="B3" t="str">
        <f>"*Quality All-Cap Dividend Strategy (*DAC)"</f>
        <v>*Quality All-Cap Dividend Strategy (*DAC)</v>
      </c>
      <c r="C3" s="2">
        <v>3.6999999999999998E-2</v>
      </c>
      <c r="D3" t="str">
        <f>"AMGN"</f>
        <v>AMGN</v>
      </c>
      <c r="E3" t="str">
        <f>"031162100"</f>
        <v>031162100</v>
      </c>
      <c r="F3" t="str">
        <f>"Amgen"</f>
        <v>Amgen</v>
      </c>
      <c r="G3" s="3">
        <v>277</v>
      </c>
    </row>
    <row r="4" spans="1:7" x14ac:dyDescent="0.25">
      <c r="A4" s="1">
        <v>46080</v>
      </c>
      <c r="B4" t="str">
        <f>"*Quality All-Cap Dividend Strategy (*DAC)"</f>
        <v>*Quality All-Cap Dividend Strategy (*DAC)</v>
      </c>
      <c r="C4" s="2">
        <v>2.92E-2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1153</v>
      </c>
    </row>
    <row r="5" spans="1:7" x14ac:dyDescent="0.25">
      <c r="A5" s="1">
        <v>46080</v>
      </c>
      <c r="B5" t="str">
        <f>"*Quality All-Cap Dividend Strategy (*DAC)"</f>
        <v>*Quality All-Cap Dividend Strategy (*DAC)</v>
      </c>
      <c r="C5" s="2">
        <v>1.55E-2</v>
      </c>
      <c r="D5" t="str">
        <f>"COR"</f>
        <v>COR</v>
      </c>
      <c r="E5" t="str">
        <f>"03073E105"</f>
        <v>03073E105</v>
      </c>
      <c r="F5" t="str">
        <f>"Cencora"</f>
        <v>Cencora</v>
      </c>
      <c r="G5" s="3">
        <v>121</v>
      </c>
    </row>
    <row r="6" spans="1:7" x14ac:dyDescent="0.25">
      <c r="A6" s="1">
        <v>46080</v>
      </c>
      <c r="B6" t="str">
        <f>"*Quality All-Cap Dividend Strategy (*DAC)"</f>
        <v>*Quality All-Cap Dividend Strategy (*DAC)</v>
      </c>
      <c r="C6" s="2">
        <v>1.06E-2</v>
      </c>
      <c r="D6" t="str">
        <f>"CNP"</f>
        <v>CNP</v>
      </c>
      <c r="E6" t="str">
        <f>"15189T107"</f>
        <v>15189T107</v>
      </c>
      <c r="F6" t="str">
        <f>"CenterPoint Energy"</f>
        <v>CenterPoint Energy</v>
      </c>
      <c r="G6" s="3">
        <v>705</v>
      </c>
    </row>
    <row r="7" spans="1:7" x14ac:dyDescent="0.25">
      <c r="A7" s="1">
        <v>46080</v>
      </c>
      <c r="B7" t="str">
        <f>"*Quality All-Cap Dividend Strategy (*DAC)"</f>
        <v>*Quality All-Cap Dividend Strategy (*DAC)</v>
      </c>
      <c r="C7" s="2">
        <v>3.04E-2</v>
      </c>
      <c r="D7" t="str">
        <f>"CVX"</f>
        <v>CVX</v>
      </c>
      <c r="E7">
        <v>166764100</v>
      </c>
      <c r="F7" t="str">
        <f>"Chevron"</f>
        <v>Chevron</v>
      </c>
      <c r="G7" s="3">
        <v>473</v>
      </c>
    </row>
    <row r="8" spans="1:7" x14ac:dyDescent="0.25">
      <c r="A8" s="1">
        <v>46080</v>
      </c>
      <c r="B8" t="str">
        <f>"*Quality All-Cap Dividend Strategy (*DAC)"</f>
        <v>*Quality All-Cap Dividend Strategy (*DAC)</v>
      </c>
      <c r="C8" s="2">
        <v>2.6200000000000001E-2</v>
      </c>
      <c r="D8" t="str">
        <f>"CSCO"</f>
        <v>CSCO</v>
      </c>
      <c r="E8" t="str">
        <f>"17275R102"</f>
        <v>17275R102</v>
      </c>
      <c r="F8" t="str">
        <f>"Cisco Systems"</f>
        <v>Cisco Systems</v>
      </c>
      <c r="G8" s="3">
        <v>958</v>
      </c>
    </row>
    <row r="9" spans="1:7" x14ac:dyDescent="0.25">
      <c r="A9" s="1">
        <v>46080</v>
      </c>
      <c r="B9" t="str">
        <f>"*Quality All-Cap Dividend Strategy (*DAC)"</f>
        <v>*Quality All-Cap Dividend Strategy (*DAC)</v>
      </c>
      <c r="C9" s="2">
        <v>2.1499999999999998E-2</v>
      </c>
      <c r="D9" t="str">
        <f>"CLX"</f>
        <v>CLX</v>
      </c>
      <c r="E9">
        <v>189054109</v>
      </c>
      <c r="F9" t="str">
        <f>"Clorox"</f>
        <v>Clorox</v>
      </c>
      <c r="G9" s="3">
        <v>492</v>
      </c>
    </row>
    <row r="10" spans="1:7" x14ac:dyDescent="0.25">
      <c r="A10" s="1">
        <v>46080</v>
      </c>
      <c r="B10" t="str">
        <f>"*Quality All-Cap Dividend Strategy (*DAC)"</f>
        <v>*Quality All-Cap Dividend Strategy (*DAC)</v>
      </c>
      <c r="C10" s="2">
        <v>3.3500000000000002E-2</v>
      </c>
      <c r="D10" t="str">
        <f>"CME"</f>
        <v>CME</v>
      </c>
      <c r="E10" t="str">
        <f>"12572Q105"</f>
        <v>12572Q105</v>
      </c>
      <c r="F10" t="str">
        <f>"CME Group"</f>
        <v>CME Group</v>
      </c>
      <c r="G10" s="3">
        <v>305</v>
      </c>
    </row>
    <row r="11" spans="1:7" x14ac:dyDescent="0.25">
      <c r="A11" s="1">
        <v>46080</v>
      </c>
      <c r="B11" t="str">
        <f>"*Quality All-Cap Dividend Strategy (*DAC)"</f>
        <v>*Quality All-Cap Dividend Strategy (*DAC)</v>
      </c>
      <c r="C11" s="2">
        <v>3.04E-2</v>
      </c>
      <c r="D11" t="str">
        <f>"CFR"</f>
        <v>CFR</v>
      </c>
      <c r="E11">
        <v>229899109</v>
      </c>
      <c r="F11" t="str">
        <f>"Cullen/Frost Bankers"</f>
        <v>Cullen/Frost Bankers</v>
      </c>
      <c r="G11" s="3">
        <v>640</v>
      </c>
    </row>
    <row r="12" spans="1:7" x14ac:dyDescent="0.25">
      <c r="A12" s="1">
        <v>46080</v>
      </c>
      <c r="B12" t="str">
        <f>"*Quality All-Cap Dividend Strategy (*DAC)"</f>
        <v>*Quality All-Cap Dividend Strategy (*DAC)</v>
      </c>
      <c r="C12" s="2">
        <v>1.7999999999999999E-2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1201</v>
      </c>
    </row>
    <row r="13" spans="1:7" x14ac:dyDescent="0.25">
      <c r="A13" s="1">
        <v>46080</v>
      </c>
      <c r="B13" t="str">
        <f>"*Quality All-Cap Dividend Strategy (*DAC)"</f>
        <v>*Quality All-Cap Dividend Strategy (*DAC)</v>
      </c>
      <c r="C13" s="2">
        <v>1.2800000000000001E-2</v>
      </c>
      <c r="D13" t="str">
        <f>"EMN"</f>
        <v>EMN</v>
      </c>
      <c r="E13">
        <v>277432100</v>
      </c>
      <c r="F13" t="str">
        <f>"Eastman Chemical"</f>
        <v>Eastman Chemical</v>
      </c>
      <c r="G13" s="3">
        <v>493</v>
      </c>
    </row>
    <row r="14" spans="1:7" x14ac:dyDescent="0.25">
      <c r="A14" s="1">
        <v>46080</v>
      </c>
      <c r="B14" t="str">
        <f>"*Quality All-Cap Dividend Strategy (*DAC)"</f>
        <v>*Quality All-Cap Dividend Strategy (*DAC)</v>
      </c>
      <c r="C14" s="2">
        <v>1.3899999999999999E-2</v>
      </c>
      <c r="D14" t="str">
        <f>"ETR"</f>
        <v>ETR</v>
      </c>
      <c r="E14" t="str">
        <f>"29364G103"</f>
        <v>29364G103</v>
      </c>
      <c r="F14" t="str">
        <f>"Entergy"</f>
        <v>Entergy</v>
      </c>
      <c r="G14" s="3">
        <v>376</v>
      </c>
    </row>
    <row r="15" spans="1:7" x14ac:dyDescent="0.25">
      <c r="A15" s="1">
        <v>46080</v>
      </c>
      <c r="B15" t="str">
        <f>"*Quality All-Cap Dividend Strategy (*DAC)"</f>
        <v>*Quality All-Cap Dividend Strategy (*DAC)</v>
      </c>
      <c r="C15" s="2">
        <v>2.9000000000000001E-2</v>
      </c>
      <c r="D15" t="str">
        <f>"XOM"</f>
        <v>XOM</v>
      </c>
      <c r="E15" t="str">
        <f>"30231G102"</f>
        <v>30231G102</v>
      </c>
      <c r="F15" t="str">
        <f>"Exxon Mobil"</f>
        <v>Exxon Mobil</v>
      </c>
      <c r="G15" s="3">
        <v>553</v>
      </c>
    </row>
    <row r="16" spans="1:7" x14ac:dyDescent="0.25">
      <c r="A16" s="1">
        <v>46080</v>
      </c>
      <c r="B16" t="str">
        <f>"*Quality All-Cap Dividend Strategy (*DAC)"</f>
        <v>*Quality All-Cap Dividend Strategy (*DAC)</v>
      </c>
      <c r="C16" s="2">
        <v>2.2499999999999999E-2</v>
      </c>
      <c r="D16" t="str">
        <f>"GD"</f>
        <v>GD</v>
      </c>
      <c r="E16">
        <v>369550108</v>
      </c>
      <c r="F16" t="str">
        <f>"General Dynamics"</f>
        <v>General Dynamics</v>
      </c>
      <c r="G16" s="3">
        <v>183</v>
      </c>
    </row>
    <row r="17" spans="1:7" x14ac:dyDescent="0.25">
      <c r="A17" s="1">
        <v>46080</v>
      </c>
      <c r="B17" t="str">
        <f>"*Quality All-Cap Dividend Strategy (*DAC)"</f>
        <v>*Quality All-Cap Dividend Strategy (*DAC)</v>
      </c>
      <c r="C17" s="2">
        <v>1.52E-2</v>
      </c>
      <c r="D17" t="str">
        <f>"HD"</f>
        <v>HD</v>
      </c>
      <c r="E17">
        <v>437076102</v>
      </c>
      <c r="F17" t="str">
        <f>"Home Depot"</f>
        <v>Home Depot</v>
      </c>
      <c r="G17" s="3">
        <v>116</v>
      </c>
    </row>
    <row r="18" spans="1:7" x14ac:dyDescent="0.25">
      <c r="A18" s="1">
        <v>46080</v>
      </c>
      <c r="B18" t="str">
        <f>"*Quality All-Cap Dividend Strategy (*DAC)"</f>
        <v>*Quality All-Cap Dividend Strategy (*DAC)</v>
      </c>
      <c r="C18" s="2">
        <v>1.14E-2</v>
      </c>
      <c r="D18" t="str">
        <f>"HRL"</f>
        <v>HRL</v>
      </c>
      <c r="E18">
        <v>440452100</v>
      </c>
      <c r="F18" t="str">
        <f>"Hormel Foods"</f>
        <v>Hormel Foods</v>
      </c>
      <c r="G18" s="3">
        <v>1297</v>
      </c>
    </row>
    <row r="19" spans="1:7" x14ac:dyDescent="0.25">
      <c r="A19" s="1">
        <v>46080</v>
      </c>
      <c r="B19" t="str">
        <f>"*Quality All-Cap Dividend Strategy (*DAC)"</f>
        <v>*Quality All-Cap Dividend Strategy (*DAC)</v>
      </c>
      <c r="C19" s="2">
        <v>9.9000000000000008E-3</v>
      </c>
      <c r="D19" t="str">
        <f>"HII"</f>
        <v>HII</v>
      </c>
      <c r="E19">
        <v>446413106</v>
      </c>
      <c r="F19" t="str">
        <f>"Huntington Ingalls"</f>
        <v>Huntington Ingalls</v>
      </c>
      <c r="G19" s="3">
        <v>65</v>
      </c>
    </row>
    <row r="20" spans="1:7" x14ac:dyDescent="0.25">
      <c r="A20" s="1">
        <v>46080</v>
      </c>
      <c r="B20" t="str">
        <f>"*Quality All-Cap Dividend Strategy (*DAC)"</f>
        <v>*Quality All-Cap Dividend Strategy (*DAC)</v>
      </c>
      <c r="C20" s="2">
        <v>1.04E-2</v>
      </c>
      <c r="D20" t="str">
        <f>"INGR"</f>
        <v>INGR</v>
      </c>
      <c r="E20">
        <v>457187102</v>
      </c>
      <c r="F20" t="str">
        <f>"Ingredion"</f>
        <v>Ingredion</v>
      </c>
      <c r="G20" s="3">
        <v>257</v>
      </c>
    </row>
    <row r="21" spans="1:7" x14ac:dyDescent="0.25">
      <c r="A21" s="1">
        <v>46080</v>
      </c>
      <c r="B21" t="str">
        <f>"*Quality All-Cap Dividend Strategy (*DAC)"</f>
        <v>*Quality All-Cap Dividend Strategy (*DAC)</v>
      </c>
      <c r="C21" s="2">
        <v>1.7299999999999999E-2</v>
      </c>
      <c r="D21" t="str">
        <f>"JKHY"</f>
        <v>JKHY</v>
      </c>
      <c r="E21">
        <v>426281101</v>
      </c>
      <c r="F21" t="str">
        <f>"Jack Henry &amp; Associates"</f>
        <v>Jack Henry &amp; Associates</v>
      </c>
      <c r="G21" s="3">
        <v>310</v>
      </c>
    </row>
    <row r="22" spans="1:7" x14ac:dyDescent="0.25">
      <c r="A22" s="1">
        <v>46080</v>
      </c>
      <c r="B22" t="str">
        <f>"*Quality All-Cap Dividend Strategy (*DAC)"</f>
        <v>*Quality All-Cap Dividend Strategy (*DAC)</v>
      </c>
      <c r="C22" s="2">
        <v>2.92E-2</v>
      </c>
      <c r="D22" t="str">
        <f>"JNJ"</f>
        <v>JNJ</v>
      </c>
      <c r="E22">
        <v>478160104</v>
      </c>
      <c r="F22" t="str">
        <f>"Johnson &amp; Johnson"</f>
        <v>Johnson &amp; Johnson</v>
      </c>
      <c r="G22" s="3">
        <v>341</v>
      </c>
    </row>
    <row r="23" spans="1:7" x14ac:dyDescent="0.25">
      <c r="A23" s="1">
        <v>46080</v>
      </c>
      <c r="B23" t="str">
        <f>"*Quality All-Cap Dividend Strategy (*DAC)"</f>
        <v>*Quality All-Cap Dividend Strategy (*DAC)</v>
      </c>
      <c r="C23" s="2">
        <v>2.1100000000000001E-2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 s="3">
        <v>204</v>
      </c>
    </row>
    <row r="24" spans="1:7" x14ac:dyDescent="0.25">
      <c r="A24" s="1">
        <v>46080</v>
      </c>
      <c r="B24" t="str">
        <f>"*Quality All-Cap Dividend Strategy (*DAC)"</f>
        <v>*Quality All-Cap Dividend Strategy (*DAC)</v>
      </c>
      <c r="C24" s="2">
        <v>1.5100000000000001E-2</v>
      </c>
      <c r="D24" t="str">
        <f>"LECO"</f>
        <v>LECO</v>
      </c>
      <c r="E24">
        <v>533900106</v>
      </c>
      <c r="F24" t="str">
        <f>"Lincoln Electric"</f>
        <v>Lincoln Electric</v>
      </c>
      <c r="G24" s="3">
        <v>153</v>
      </c>
    </row>
    <row r="25" spans="1:7" x14ac:dyDescent="0.25">
      <c r="A25" s="1">
        <v>46080</v>
      </c>
      <c r="B25" t="str">
        <f>"*Quality All-Cap Dividend Strategy (*DAC)"</f>
        <v>*Quality All-Cap Dividend Strategy (*DAC)</v>
      </c>
      <c r="C25" s="2">
        <v>2.3599999999999999E-2</v>
      </c>
      <c r="D25" t="str">
        <f>"MKC"</f>
        <v>MKC</v>
      </c>
      <c r="E25">
        <v>579780206</v>
      </c>
      <c r="F25" t="str">
        <f>"McCormick &amp; Co."</f>
        <v>McCormick &amp; Co.</v>
      </c>
      <c r="G25" s="3">
        <v>966</v>
      </c>
    </row>
    <row r="26" spans="1:7" x14ac:dyDescent="0.25">
      <c r="A26" s="1">
        <v>46080</v>
      </c>
      <c r="B26" t="str">
        <f>"*Quality All-Cap Dividend Strategy (*DAC)"</f>
        <v>*Quality All-Cap Dividend Strategy (*DAC)</v>
      </c>
      <c r="C26" s="2">
        <v>2.1999999999999999E-2</v>
      </c>
      <c r="D26" t="str">
        <f>"MDT"</f>
        <v>MDT</v>
      </c>
      <c r="E26" t="str">
        <f>"G5960L103"</f>
        <v>G5960L103</v>
      </c>
      <c r="F26" t="str">
        <f>"Medtronic"</f>
        <v>Medtronic</v>
      </c>
      <c r="G26" s="3">
        <v>656</v>
      </c>
    </row>
    <row r="27" spans="1:7" x14ac:dyDescent="0.25">
      <c r="A27" s="1">
        <v>46080</v>
      </c>
      <c r="B27" t="str">
        <f>"*Quality All-Cap Dividend Strategy (*DAC)"</f>
        <v>*Quality All-Cap Dividend Strategy (*DAC)</v>
      </c>
      <c r="C27" s="2">
        <v>1.9099999999999999E-2</v>
      </c>
      <c r="D27" t="str">
        <f>"MSFT"</f>
        <v>MSFT</v>
      </c>
      <c r="E27">
        <v>594918104</v>
      </c>
      <c r="F27" t="str">
        <f>"Microsoft"</f>
        <v>Microsoft</v>
      </c>
      <c r="G27" s="3">
        <v>141</v>
      </c>
    </row>
    <row r="28" spans="1:7" x14ac:dyDescent="0.25">
      <c r="A28" s="1">
        <v>46080</v>
      </c>
      <c r="B28" t="str">
        <f>"*Quality All-Cap Dividend Strategy (*DAC)"</f>
        <v>*Quality All-Cap Dividend Strategy (*DAC)</v>
      </c>
      <c r="C28" s="2">
        <v>1.4999999999999999E-2</v>
      </c>
      <c r="D28" t="str">
        <f>"MSM"</f>
        <v>MSM</v>
      </c>
      <c r="E28">
        <v>553530106</v>
      </c>
      <c r="F28" t="str">
        <f>"MSC Industrial"</f>
        <v>MSC Industrial</v>
      </c>
      <c r="G28" s="3">
        <v>463</v>
      </c>
    </row>
    <row r="29" spans="1:7" x14ac:dyDescent="0.25">
      <c r="A29" s="1">
        <v>46080</v>
      </c>
      <c r="B29" t="str">
        <f>"*Quality All-Cap Dividend Strategy (*DAC)"</f>
        <v>*Quality All-Cap Dividend Strategy (*DAC)</v>
      </c>
      <c r="C29" s="2">
        <v>1.34E-2</v>
      </c>
      <c r="D29" t="str">
        <f>"NKE"</f>
        <v>NKE</v>
      </c>
      <c r="E29">
        <v>654106103</v>
      </c>
      <c r="F29" t="str">
        <f>"Nike"</f>
        <v>Nike</v>
      </c>
      <c r="G29" s="3">
        <v>627</v>
      </c>
    </row>
    <row r="30" spans="1:7" x14ac:dyDescent="0.25">
      <c r="A30" s="1">
        <v>46080</v>
      </c>
      <c r="B30" t="str">
        <f>"*Quality All-Cap Dividend Strategy (*DAC)"</f>
        <v>*Quality All-Cap Dividend Strategy (*DAC)</v>
      </c>
      <c r="C30" s="2">
        <v>1.3100000000000001E-2</v>
      </c>
      <c r="D30" t="str">
        <f>"PAYX"</f>
        <v>PAYX</v>
      </c>
      <c r="E30">
        <v>704326107</v>
      </c>
      <c r="F30" t="str">
        <f>"Paychex"</f>
        <v>Paychex</v>
      </c>
      <c r="G30" s="3">
        <v>407</v>
      </c>
    </row>
    <row r="31" spans="1:7" x14ac:dyDescent="0.25">
      <c r="A31" s="1">
        <v>46080</v>
      </c>
      <c r="B31" t="str">
        <f>"*Quality All-Cap Dividend Strategy (*DAC)"</f>
        <v>*Quality All-Cap Dividend Strategy (*DAC)</v>
      </c>
      <c r="C31" s="2">
        <v>2.3199999999999998E-2</v>
      </c>
      <c r="D31" t="str">
        <f>"PEP"</f>
        <v>PEP</v>
      </c>
      <c r="E31">
        <v>713448108</v>
      </c>
      <c r="F31" t="str">
        <f>"Pepsi"</f>
        <v>Pepsi</v>
      </c>
      <c r="G31" s="3">
        <v>398</v>
      </c>
    </row>
    <row r="32" spans="1:7" x14ac:dyDescent="0.25">
      <c r="A32" s="1">
        <v>46080</v>
      </c>
      <c r="B32" t="str">
        <f>"*Quality All-Cap Dividend Strategy (*DAC)"</f>
        <v>*Quality All-Cap Dividend Strategy (*DAC)</v>
      </c>
      <c r="C32" s="2">
        <v>1.66E-2</v>
      </c>
      <c r="D32" t="str">
        <f>"PFE"</f>
        <v>PFE</v>
      </c>
      <c r="E32">
        <v>717081103</v>
      </c>
      <c r="F32" t="str">
        <f>"Pfizer"</f>
        <v>Pfizer</v>
      </c>
      <c r="G32" s="3">
        <v>1740</v>
      </c>
    </row>
    <row r="33" spans="1:7" x14ac:dyDescent="0.25">
      <c r="A33" s="1">
        <v>46080</v>
      </c>
      <c r="B33" t="str">
        <f>"*Quality All-Cap Dividend Strategy (*DAC)"</f>
        <v>*Quality All-Cap Dividend Strategy (*DAC)</v>
      </c>
      <c r="C33" s="2">
        <v>1.7100000000000001E-2</v>
      </c>
      <c r="D33" t="str">
        <f>"PSX"</f>
        <v>PSX</v>
      </c>
      <c r="E33">
        <v>718546104</v>
      </c>
      <c r="F33" t="str">
        <f>"Phillips 66"</f>
        <v>Phillips 66</v>
      </c>
      <c r="G33" s="3">
        <v>322</v>
      </c>
    </row>
    <row r="34" spans="1:7" x14ac:dyDescent="0.25">
      <c r="A34" s="1">
        <v>46080</v>
      </c>
      <c r="B34" t="str">
        <f>"*Quality All-Cap Dividend Strategy (*DAC)"</f>
        <v>*Quality All-Cap Dividend Strategy (*DAC)</v>
      </c>
      <c r="C34" s="2">
        <v>1.83E-2</v>
      </c>
      <c r="D34" t="str">
        <f>"POR"</f>
        <v>POR</v>
      </c>
      <c r="E34">
        <v>736508847</v>
      </c>
      <c r="F34" t="str">
        <f>"Portland General Electric Co"</f>
        <v>Portland General Electric Co</v>
      </c>
      <c r="G34" s="3">
        <v>984</v>
      </c>
    </row>
    <row r="35" spans="1:7" x14ac:dyDescent="0.25">
      <c r="A35" s="1">
        <v>46080</v>
      </c>
      <c r="B35" t="str">
        <f>"*Quality All-Cap Dividend Strategy (*DAC)"</f>
        <v>*Quality All-Cap Dividend Strategy (*DAC)</v>
      </c>
      <c r="C35" s="2">
        <v>1.14E-2</v>
      </c>
      <c r="D35" t="str">
        <f>"PFG"</f>
        <v>PFG</v>
      </c>
      <c r="E35" t="str">
        <f>"74251V102"</f>
        <v>74251V102</v>
      </c>
      <c r="F35" t="str">
        <f>"Principal Financial"</f>
        <v>Principal Financial</v>
      </c>
      <c r="G35" s="3">
        <v>346</v>
      </c>
    </row>
    <row r="36" spans="1:7" x14ac:dyDescent="0.25">
      <c r="A36" s="1">
        <v>46080</v>
      </c>
      <c r="B36" t="str">
        <f>"*Quality All-Cap Dividend Strategy (*DAC)"</f>
        <v>*Quality All-Cap Dividend Strategy (*DAC)</v>
      </c>
      <c r="C36" s="2">
        <v>1.6500000000000001E-2</v>
      </c>
      <c r="D36" t="str">
        <f>"PG"</f>
        <v>PG</v>
      </c>
      <c r="E36">
        <v>742718109</v>
      </c>
      <c r="F36" t="str">
        <f>"Procter &amp; Gamble"</f>
        <v>Procter &amp; Gamble</v>
      </c>
      <c r="G36" s="3">
        <v>287</v>
      </c>
    </row>
    <row r="37" spans="1:7" x14ac:dyDescent="0.25">
      <c r="A37" s="1">
        <v>46080</v>
      </c>
      <c r="B37" t="str">
        <f>"*Quality All-Cap Dividend Strategy (*DAC)"</f>
        <v>*Quality All-Cap Dividend Strategy (*DAC)</v>
      </c>
      <c r="C37" s="2">
        <v>1.95E-2</v>
      </c>
      <c r="D37" t="str">
        <f>"DGX"</f>
        <v>DGX</v>
      </c>
      <c r="E37" t="str">
        <f>"74834L100"</f>
        <v>74834L100</v>
      </c>
      <c r="F37" t="str">
        <f>"Quest Diagnostics"</f>
        <v>Quest Diagnostics</v>
      </c>
      <c r="G37" s="3">
        <v>268</v>
      </c>
    </row>
    <row r="38" spans="1:7" x14ac:dyDescent="0.25">
      <c r="A38" s="1">
        <v>46080</v>
      </c>
      <c r="B38" t="str">
        <f>"*Quality All-Cap Dividend Strategy (*DAC)"</f>
        <v>*Quality All-Cap Dividend Strategy (*DAC)</v>
      </c>
      <c r="C38" s="2">
        <v>2.3300000000000001E-2</v>
      </c>
      <c r="D38" t="str">
        <f>"O"</f>
        <v>O</v>
      </c>
      <c r="E38">
        <v>756109104</v>
      </c>
      <c r="F38" t="str">
        <f>"Realty Income"</f>
        <v>Realty Income</v>
      </c>
      <c r="G38" s="3">
        <v>1010</v>
      </c>
    </row>
    <row r="39" spans="1:7" x14ac:dyDescent="0.25">
      <c r="A39" s="1">
        <v>46080</v>
      </c>
      <c r="B39" t="str">
        <f>"*Quality All-Cap Dividend Strategy (*DAC)"</f>
        <v>*Quality All-Cap Dividend Strategy (*DAC)</v>
      </c>
      <c r="C39" s="2">
        <v>1.5900000000000001E-2</v>
      </c>
      <c r="D39" t="str">
        <f>"RGA"</f>
        <v>RGA</v>
      </c>
      <c r="E39">
        <v>759351604</v>
      </c>
      <c r="F39" t="str">
        <f>"Reinsurance Group of America"</f>
        <v>Reinsurance Group of America</v>
      </c>
      <c r="G39" s="3">
        <v>214</v>
      </c>
    </row>
    <row r="40" spans="1:7" x14ac:dyDescent="0.25">
      <c r="A40" s="1">
        <v>46080</v>
      </c>
      <c r="B40" t="str">
        <f>"*Quality All-Cap Dividend Strategy (*DAC)"</f>
        <v>*Quality All-Cap Dividend Strategy (*DAC)</v>
      </c>
      <c r="C40" s="2">
        <v>7.1999999999999998E-3</v>
      </c>
      <c r="D40" t="str">
        <f>"RHI"</f>
        <v>RHI</v>
      </c>
      <c r="E40">
        <v>770323103</v>
      </c>
      <c r="F40" t="str">
        <f>"Robert Half International"</f>
        <v>Robert Half International</v>
      </c>
      <c r="G40" s="3">
        <v>852</v>
      </c>
    </row>
    <row r="41" spans="1:7" x14ac:dyDescent="0.25">
      <c r="A41" s="1">
        <v>46080</v>
      </c>
      <c r="B41" t="str">
        <f>"*Quality All-Cap Dividend Strategy (*DAC)"</f>
        <v>*Quality All-Cap Dividend Strategy (*DAC)</v>
      </c>
      <c r="C41" s="2">
        <v>1.1900000000000001E-2</v>
      </c>
      <c r="D41" t="str">
        <f>"SNA"</f>
        <v>SNA</v>
      </c>
      <c r="E41">
        <v>833034101</v>
      </c>
      <c r="F41" t="str">
        <f>"Snap-On"</f>
        <v>Snap-On</v>
      </c>
      <c r="G41" s="3">
        <v>90</v>
      </c>
    </row>
    <row r="42" spans="1:7" x14ac:dyDescent="0.25">
      <c r="A42" s="1">
        <v>46080</v>
      </c>
      <c r="B42" t="str">
        <f>"*Quality All-Cap Dividend Strategy (*DAC)"</f>
        <v>*Quality All-Cap Dividend Strategy (*DAC)</v>
      </c>
      <c r="C42" s="2">
        <v>1.1299999999999999E-2</v>
      </c>
      <c r="D42" t="str">
        <f>"SWK"</f>
        <v>SWK</v>
      </c>
      <c r="E42">
        <v>854502101</v>
      </c>
      <c r="F42" t="str">
        <f>"Stanley Black &amp; Decker"</f>
        <v>Stanley Black &amp; Decker</v>
      </c>
      <c r="G42" s="3">
        <v>381</v>
      </c>
    </row>
    <row r="43" spans="1:7" x14ac:dyDescent="0.25">
      <c r="A43" s="1">
        <v>46080</v>
      </c>
      <c r="B43" t="str">
        <f>"*Quality All-Cap Dividend Strategy (*DAC)"</f>
        <v>*Quality All-Cap Dividend Strategy (*DAC)</v>
      </c>
      <c r="C43" s="2">
        <v>1.5599999999999999E-2</v>
      </c>
      <c r="D43" t="str">
        <f>"TROW"</f>
        <v>TROW</v>
      </c>
      <c r="E43" t="str">
        <f>"74144T108"</f>
        <v>74144T108</v>
      </c>
      <c r="F43" t="str">
        <f>"T. Rowe Price"</f>
        <v>T. Rowe Price</v>
      </c>
      <c r="G43" s="3">
        <v>480</v>
      </c>
    </row>
    <row r="44" spans="1:7" x14ac:dyDescent="0.25">
      <c r="A44" s="1">
        <v>46080</v>
      </c>
      <c r="B44" t="str">
        <f>"*Quality All-Cap Dividend Strategy (*DAC)"</f>
        <v>*Quality All-Cap Dividend Strategy (*DAC)</v>
      </c>
      <c r="C44" s="2">
        <v>2.2599999999999999E-2</v>
      </c>
      <c r="D44" t="str">
        <f>"TXN"</f>
        <v>TXN</v>
      </c>
      <c r="E44">
        <v>882508104</v>
      </c>
      <c r="F44" t="str">
        <f>"Texas Instruments"</f>
        <v>Texas Instruments</v>
      </c>
      <c r="G44" s="3">
        <v>310</v>
      </c>
    </row>
    <row r="45" spans="1:7" x14ac:dyDescent="0.25">
      <c r="A45" s="1">
        <v>46080</v>
      </c>
      <c r="B45" t="str">
        <f>"*Quality All-Cap Dividend Strategy (*DAC)"</f>
        <v>*Quality All-Cap Dividend Strategy (*DAC)</v>
      </c>
      <c r="C45" s="2">
        <v>2.1299999999999999E-2</v>
      </c>
      <c r="D45" t="str">
        <f>"UNP"</f>
        <v>UNP</v>
      </c>
      <c r="E45">
        <v>907818108</v>
      </c>
      <c r="F45" t="str">
        <f>"Union Pacific"</f>
        <v>Union Pacific</v>
      </c>
      <c r="G45" s="3">
        <v>234</v>
      </c>
    </row>
    <row r="46" spans="1:7" x14ac:dyDescent="0.25">
      <c r="A46" s="1">
        <v>46080</v>
      </c>
      <c r="B46" t="str">
        <f>"*Quality All-Cap Dividend Strategy (*DAC)"</f>
        <v>*Quality All-Cap Dividend Strategy (*DAC)</v>
      </c>
      <c r="C46" s="2">
        <v>1.9199999999999998E-2</v>
      </c>
      <c r="D46" t="str">
        <f>"UPS"</f>
        <v>UPS</v>
      </c>
      <c r="E46">
        <v>911312106</v>
      </c>
      <c r="F46" t="str">
        <f>"United Parcel Service"</f>
        <v>United Parcel Service</v>
      </c>
      <c r="G46" s="3">
        <v>482</v>
      </c>
    </row>
    <row r="47" spans="1:7" x14ac:dyDescent="0.25">
      <c r="A47" s="1">
        <v>46080</v>
      </c>
      <c r="B47" t="str">
        <f>"*Quality All-Cap Dividend Strategy (*DAC)"</f>
        <v>*Quality All-Cap Dividend Strategy (*DAC)</v>
      </c>
      <c r="C47" s="2">
        <v>1.5800000000000002E-2</v>
      </c>
      <c r="D47" t="str">
        <f>"VZ"</f>
        <v>VZ</v>
      </c>
      <c r="E47" t="str">
        <f>"92343V104"</f>
        <v>92343V104</v>
      </c>
      <c r="F47" t="str">
        <f>"Verizon"</f>
        <v>Verizon</v>
      </c>
      <c r="G47" s="3">
        <v>918</v>
      </c>
    </row>
    <row r="48" spans="1:7" x14ac:dyDescent="0.25">
      <c r="A48" s="1">
        <v>46080</v>
      </c>
      <c r="B48" t="str">
        <f>"*Quality All-Cap Dividend Strategy (*DAC)"</f>
        <v>*Quality All-Cap Dividend Strategy (*DAC)</v>
      </c>
      <c r="C48" s="2">
        <v>0.1333</v>
      </c>
      <c r="D48" t="str">
        <f>"CASH"</f>
        <v>CASH</v>
      </c>
      <c r="E48" t="str">
        <f>""</f>
        <v/>
      </c>
      <c r="F48" t="str">
        <f>"Cash"</f>
        <v>Cash</v>
      </c>
      <c r="G48" s="3">
        <v>387432.85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50D9-7256-4C9F-8558-1BB18424F1FF}">
  <dimension ref="A1:G38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32.5703125" bestFit="1" customWidth="1"/>
    <col min="3" max="3" width="8.140625" bestFit="1" customWidth="1"/>
    <col min="4" max="4" width="7.42578125" bestFit="1" customWidth="1"/>
    <col min="5" max="5" width="10.5703125" bestFit="1" customWidth="1"/>
    <col min="6" max="6" width="28.28515625" bestFit="1" customWidth="1"/>
    <col min="7" max="7" width="10.7109375" bestFit="1" customWidth="1"/>
  </cols>
  <sheetData>
    <row r="1" spans="1: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</row>
    <row r="2" spans="1:7" x14ac:dyDescent="0.25">
      <c r="A2" s="1">
        <v>46080</v>
      </c>
      <c r="B2" t="str">
        <f>"*Oregon Dividend Strategy (*QDGR)"</f>
        <v>*Oregon Dividend Strategy (*QDGR)</v>
      </c>
      <c r="C2" s="2">
        <v>2.3800000000000002E-2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 s="3">
        <v>132</v>
      </c>
    </row>
    <row r="3" spans="1:7" x14ac:dyDescent="0.25">
      <c r="A3" s="1">
        <v>46080</v>
      </c>
      <c r="B3" t="str">
        <f>"*Oregon Dividend Strategy (*QDGR)"</f>
        <v>*Oregon Dividend Strategy (*QDGR)</v>
      </c>
      <c r="C3" s="2">
        <v>3.8399999999999997E-2</v>
      </c>
      <c r="D3" t="str">
        <f>"COR"</f>
        <v>COR</v>
      </c>
      <c r="E3" t="str">
        <f>"03073E105"</f>
        <v>03073E105</v>
      </c>
      <c r="F3" t="str">
        <f>"Cencora"</f>
        <v>Cencora</v>
      </c>
      <c r="G3" s="3">
        <v>222</v>
      </c>
    </row>
    <row r="4" spans="1:7" x14ac:dyDescent="0.25">
      <c r="A4" s="1">
        <v>46080</v>
      </c>
      <c r="B4" t="str">
        <f>"*Oregon Dividend Strategy (*QDGR)"</f>
        <v>*Oregon Dividend Strategy (*QDGR)</v>
      </c>
      <c r="C4" s="2">
        <v>3.6700000000000003E-2</v>
      </c>
      <c r="D4" t="str">
        <f>"CSCO"</f>
        <v>CSCO</v>
      </c>
      <c r="E4" t="str">
        <f>"17275R102"</f>
        <v>17275R102</v>
      </c>
      <c r="F4" t="str">
        <f>"Cisco Systems"</f>
        <v>Cisco Systems</v>
      </c>
      <c r="G4" s="3">
        <v>994</v>
      </c>
    </row>
    <row r="5" spans="1:7" x14ac:dyDescent="0.25">
      <c r="A5" s="1">
        <v>46080</v>
      </c>
      <c r="B5" t="str">
        <f>"*Oregon Dividend Strategy (*QDGR)"</f>
        <v>*Oregon Dividend Strategy (*QDGR)</v>
      </c>
      <c r="C5" s="2">
        <v>2.3E-2</v>
      </c>
      <c r="D5" t="str">
        <f>"CLX"</f>
        <v>CLX</v>
      </c>
      <c r="E5">
        <v>189054109</v>
      </c>
      <c r="F5" t="str">
        <f>"Clorox"</f>
        <v>Clorox</v>
      </c>
      <c r="G5" s="3">
        <v>388</v>
      </c>
    </row>
    <row r="6" spans="1:7" x14ac:dyDescent="0.25">
      <c r="A6" s="1">
        <v>46080</v>
      </c>
      <c r="B6" t="str">
        <f>"*Oregon Dividend Strategy (*QDGR)"</f>
        <v>*Oregon Dividend Strategy (*QDGR)</v>
      </c>
      <c r="C6" s="2">
        <v>2.5999999999999999E-2</v>
      </c>
      <c r="D6" t="str">
        <f>"CME"</f>
        <v>CME</v>
      </c>
      <c r="E6" t="str">
        <f>"12572Q105"</f>
        <v>12572Q105</v>
      </c>
      <c r="F6" t="str">
        <f>"CME Group"</f>
        <v>CME Group</v>
      </c>
      <c r="G6" s="3">
        <v>175</v>
      </c>
    </row>
    <row r="7" spans="1:7" x14ac:dyDescent="0.25">
      <c r="A7" s="1">
        <v>46080</v>
      </c>
      <c r="B7" t="str">
        <f>"*Oregon Dividend Strategy (*QDGR)"</f>
        <v>*Oregon Dividend Strategy (*QDGR)</v>
      </c>
      <c r="C7" s="2">
        <v>2.29E-2</v>
      </c>
      <c r="D7" t="str">
        <f>"KOF"</f>
        <v>KOF</v>
      </c>
      <c r="E7">
        <v>191241108</v>
      </c>
      <c r="F7" t="str">
        <f>"Coca-Cola Femsa"</f>
        <v>Coca-Cola Femsa</v>
      </c>
      <c r="G7" s="3">
        <v>443</v>
      </c>
    </row>
    <row r="8" spans="1:7" x14ac:dyDescent="0.25">
      <c r="A8" s="1">
        <v>46080</v>
      </c>
      <c r="B8" t="str">
        <f>"*Oregon Dividend Strategy (*QDGR)"</f>
        <v>*Oregon Dividend Strategy (*QDGR)</v>
      </c>
      <c r="C8" s="2">
        <v>1.5800000000000002E-2</v>
      </c>
      <c r="D8" t="str">
        <f>"CFR"</f>
        <v>CFR</v>
      </c>
      <c r="E8">
        <v>229899109</v>
      </c>
      <c r="F8" t="str">
        <f>"Cullen/Frost Bankers"</f>
        <v>Cullen/Frost Bankers</v>
      </c>
      <c r="G8" s="3">
        <v>246</v>
      </c>
    </row>
    <row r="9" spans="1:7" x14ac:dyDescent="0.25">
      <c r="A9" s="1">
        <v>46080</v>
      </c>
      <c r="B9" t="str">
        <f>"*Oregon Dividend Strategy (*QDGR)"</f>
        <v>*Oregon Dividend Strategy (*QDGR)</v>
      </c>
      <c r="C9" s="2">
        <v>1.7999999999999999E-2</v>
      </c>
      <c r="D9" t="str">
        <f>"ETR"</f>
        <v>ETR</v>
      </c>
      <c r="E9" t="str">
        <f>"29364G103"</f>
        <v>29364G103</v>
      </c>
      <c r="F9" t="str">
        <f>"Entergy"</f>
        <v>Entergy</v>
      </c>
      <c r="G9" s="3">
        <v>361</v>
      </c>
    </row>
    <row r="10" spans="1:7" x14ac:dyDescent="0.25">
      <c r="A10" s="1">
        <v>46080</v>
      </c>
      <c r="B10" t="str">
        <f>"*Oregon Dividend Strategy (*QDGR)"</f>
        <v>*Oregon Dividend Strategy (*QDGR)</v>
      </c>
      <c r="C10" s="2">
        <v>3.4200000000000001E-2</v>
      </c>
      <c r="D10" t="str">
        <f>"HD"</f>
        <v>HD</v>
      </c>
      <c r="E10">
        <v>437076102</v>
      </c>
      <c r="F10" t="str">
        <f>"Home Depot"</f>
        <v>Home Depot</v>
      </c>
      <c r="G10" s="3">
        <v>193</v>
      </c>
    </row>
    <row r="11" spans="1:7" x14ac:dyDescent="0.25">
      <c r="A11" s="1">
        <v>46080</v>
      </c>
      <c r="B11" t="str">
        <f>"*Oregon Dividend Strategy (*QDGR)"</f>
        <v>*Oregon Dividend Strategy (*QDGR)</v>
      </c>
      <c r="C11" s="2">
        <v>1.54E-2</v>
      </c>
      <c r="D11" t="str">
        <f>"INGR"</f>
        <v>INGR</v>
      </c>
      <c r="E11">
        <v>457187102</v>
      </c>
      <c r="F11" t="str">
        <f>"Ingredion"</f>
        <v>Ingredion</v>
      </c>
      <c r="G11" s="3">
        <v>282</v>
      </c>
    </row>
    <row r="12" spans="1:7" x14ac:dyDescent="0.25">
      <c r="A12" s="1">
        <v>46080</v>
      </c>
      <c r="B12" t="str">
        <f>"*Oregon Dividend Strategy (*QDGR)"</f>
        <v>*Oregon Dividend Strategy (*QDGR)</v>
      </c>
      <c r="C12" s="2">
        <v>2.2499999999999999E-2</v>
      </c>
      <c r="D12" t="str">
        <f>"JKHY"</f>
        <v>JKHY</v>
      </c>
      <c r="E12">
        <v>426281101</v>
      </c>
      <c r="F12" t="str">
        <f>"Jack Henry &amp; Associates"</f>
        <v>Jack Henry &amp; Associates</v>
      </c>
      <c r="G12" s="3">
        <v>298</v>
      </c>
    </row>
    <row r="13" spans="1:7" x14ac:dyDescent="0.25">
      <c r="A13" s="1">
        <v>46080</v>
      </c>
      <c r="B13" t="str">
        <f>"*Oregon Dividend Strategy (*QDGR)"</f>
        <v>*Oregon Dividend Strategy (*QDGR)</v>
      </c>
      <c r="C13" s="2">
        <v>2.46E-2</v>
      </c>
      <c r="D13" t="str">
        <f>"JNJ"</f>
        <v>JNJ</v>
      </c>
      <c r="E13">
        <v>478160104</v>
      </c>
      <c r="F13" t="str">
        <f>"Johnson &amp; Johnson"</f>
        <v>Johnson &amp; Johnson</v>
      </c>
      <c r="G13" s="3">
        <v>213</v>
      </c>
    </row>
    <row r="14" spans="1:7" x14ac:dyDescent="0.25">
      <c r="A14" s="1">
        <v>46080</v>
      </c>
      <c r="B14" t="str">
        <f>"*Oregon Dividend Strategy (*QDGR)"</f>
        <v>*Oregon Dividend Strategy (*QDGR)</v>
      </c>
      <c r="C14" s="2">
        <v>2.2800000000000001E-2</v>
      </c>
      <c r="D14" t="str">
        <f>"JPM"</f>
        <v>JPM</v>
      </c>
      <c r="E14" t="str">
        <f>"46625H100"</f>
        <v>46625H100</v>
      </c>
      <c r="F14" t="str">
        <f>"JPMorgan Chase"</f>
        <v>JPMorgan Chase</v>
      </c>
      <c r="G14" s="3">
        <v>163</v>
      </c>
    </row>
    <row r="15" spans="1:7" x14ac:dyDescent="0.25">
      <c r="A15" s="1">
        <v>46080</v>
      </c>
      <c r="B15" t="str">
        <f>"*Oregon Dividend Strategy (*QDGR)"</f>
        <v>*Oregon Dividend Strategy (*QDGR)</v>
      </c>
      <c r="C15" s="2">
        <v>1.9800000000000002E-2</v>
      </c>
      <c r="D15" t="str">
        <f>"LECO"</f>
        <v>LECO</v>
      </c>
      <c r="E15">
        <v>533900106</v>
      </c>
      <c r="F15" t="str">
        <f>"Lincoln Electric"</f>
        <v>Lincoln Electric</v>
      </c>
      <c r="G15" s="3">
        <v>148</v>
      </c>
    </row>
    <row r="16" spans="1:7" x14ac:dyDescent="0.25">
      <c r="A16" s="1">
        <v>46080</v>
      </c>
      <c r="B16" t="str">
        <f>"*Oregon Dividend Strategy (*QDGR)"</f>
        <v>*Oregon Dividend Strategy (*QDGR)</v>
      </c>
      <c r="C16" s="2">
        <v>1.47E-2</v>
      </c>
      <c r="D16" t="str">
        <f>"MKC"</f>
        <v>MKC</v>
      </c>
      <c r="E16">
        <v>579780206</v>
      </c>
      <c r="F16" t="str">
        <f>"McCormick &amp; Co."</f>
        <v>McCormick &amp; Co.</v>
      </c>
      <c r="G16" s="3">
        <v>445</v>
      </c>
    </row>
    <row r="17" spans="1:7" x14ac:dyDescent="0.25">
      <c r="A17" s="1">
        <v>46080</v>
      </c>
      <c r="B17" t="str">
        <f>"*Oregon Dividend Strategy (*QDGR)"</f>
        <v>*Oregon Dividend Strategy (*QDGR)</v>
      </c>
      <c r="C17" s="2">
        <v>2.3599999999999999E-2</v>
      </c>
      <c r="D17" t="str">
        <f>"MDT"</f>
        <v>MDT</v>
      </c>
      <c r="E17" t="str">
        <f>"G5960L103"</f>
        <v>G5960L103</v>
      </c>
      <c r="F17" t="str">
        <f>"Medtronic"</f>
        <v>Medtronic</v>
      </c>
      <c r="G17" s="3">
        <v>520</v>
      </c>
    </row>
    <row r="18" spans="1:7" x14ac:dyDescent="0.25">
      <c r="A18" s="1">
        <v>46080</v>
      </c>
      <c r="B18" t="str">
        <f>"*Oregon Dividend Strategy (*QDGR)"</f>
        <v>*Oregon Dividend Strategy (*QDGR)</v>
      </c>
      <c r="C18" s="2">
        <v>2.1399999999999999E-2</v>
      </c>
      <c r="D18" t="str">
        <f>"MSFT"</f>
        <v>MSFT</v>
      </c>
      <c r="E18">
        <v>594918104</v>
      </c>
      <c r="F18" t="str">
        <f>"Microsoft"</f>
        <v>Microsoft</v>
      </c>
      <c r="G18" s="3">
        <v>117</v>
      </c>
    </row>
    <row r="19" spans="1:7" x14ac:dyDescent="0.25">
      <c r="A19" s="1">
        <v>46080</v>
      </c>
      <c r="B19" t="str">
        <f>"*Oregon Dividend Strategy (*QDGR)"</f>
        <v>*Oregon Dividend Strategy (*QDGR)</v>
      </c>
      <c r="C19" s="2">
        <v>2.4799999999999999E-2</v>
      </c>
      <c r="D19" t="str">
        <f>"MSM"</f>
        <v>MSM</v>
      </c>
      <c r="E19">
        <v>553530106</v>
      </c>
      <c r="F19" t="str">
        <f>"MSC Industrial"</f>
        <v>MSC Industrial</v>
      </c>
      <c r="G19" s="3">
        <v>568</v>
      </c>
    </row>
    <row r="20" spans="1:7" x14ac:dyDescent="0.25">
      <c r="A20" s="1">
        <v>46080</v>
      </c>
      <c r="B20" t="str">
        <f>"*Oregon Dividend Strategy (*QDGR)"</f>
        <v>*Oregon Dividend Strategy (*QDGR)</v>
      </c>
      <c r="C20" s="2">
        <v>2.8000000000000001E-2</v>
      </c>
      <c r="D20" t="str">
        <f>"NKE"</f>
        <v>NKE</v>
      </c>
      <c r="E20">
        <v>654106103</v>
      </c>
      <c r="F20" t="str">
        <f>"Nike"</f>
        <v>Nike</v>
      </c>
      <c r="G20" s="3">
        <v>968</v>
      </c>
    </row>
    <row r="21" spans="1:7" x14ac:dyDescent="0.25">
      <c r="A21" s="1">
        <v>46080</v>
      </c>
      <c r="B21" t="str">
        <f>"*Oregon Dividend Strategy (*QDGR)"</f>
        <v>*Oregon Dividend Strategy (*QDGR)</v>
      </c>
      <c r="C21" s="2">
        <v>1.5800000000000002E-2</v>
      </c>
      <c r="D21" t="str">
        <f>"NVO"</f>
        <v>NVO</v>
      </c>
      <c r="E21">
        <v>670100205</v>
      </c>
      <c r="F21" t="str">
        <f>"Novo Nordisk"</f>
        <v>Novo Nordisk</v>
      </c>
      <c r="G21" s="3">
        <v>907</v>
      </c>
    </row>
    <row r="22" spans="1:7" x14ac:dyDescent="0.25">
      <c r="A22" s="1">
        <v>46080</v>
      </c>
      <c r="B22" t="str">
        <f>"*Oregon Dividend Strategy (*QDGR)"</f>
        <v>*Oregon Dividend Strategy (*QDGR)</v>
      </c>
      <c r="C22" s="2">
        <v>1.9099999999999999E-2</v>
      </c>
      <c r="D22" t="str">
        <f>"PAYX"</f>
        <v>PAYX</v>
      </c>
      <c r="E22">
        <v>704326107</v>
      </c>
      <c r="F22" t="str">
        <f>"Paychex"</f>
        <v>Paychex</v>
      </c>
      <c r="G22" s="3">
        <v>438</v>
      </c>
    </row>
    <row r="23" spans="1:7" x14ac:dyDescent="0.25">
      <c r="A23" s="1">
        <v>46080</v>
      </c>
      <c r="B23" t="str">
        <f>"*Oregon Dividend Strategy (*QDGR)"</f>
        <v>*Oregon Dividend Strategy (*QDGR)</v>
      </c>
      <c r="C23" s="2">
        <v>2.6100000000000002E-2</v>
      </c>
      <c r="D23" t="str">
        <f>"PEP"</f>
        <v>PEP</v>
      </c>
      <c r="E23">
        <v>713448108</v>
      </c>
      <c r="F23" t="str">
        <f>"Pepsi"</f>
        <v>Pepsi</v>
      </c>
      <c r="G23" s="3">
        <v>330</v>
      </c>
    </row>
    <row r="24" spans="1:7" x14ac:dyDescent="0.25">
      <c r="A24" s="1">
        <v>46080</v>
      </c>
      <c r="B24" t="str">
        <f>"*Oregon Dividend Strategy (*QDGR)"</f>
        <v>*Oregon Dividend Strategy (*QDGR)</v>
      </c>
      <c r="C24" s="2">
        <v>2.6100000000000002E-2</v>
      </c>
      <c r="D24" t="str">
        <f>"PFE"</f>
        <v>PFE</v>
      </c>
      <c r="E24">
        <v>717081103</v>
      </c>
      <c r="F24" t="str">
        <f>"Pfizer"</f>
        <v>Pfizer</v>
      </c>
      <c r="G24" s="3">
        <v>2028</v>
      </c>
    </row>
    <row r="25" spans="1:7" x14ac:dyDescent="0.25">
      <c r="A25" s="1">
        <v>46080</v>
      </c>
      <c r="B25" t="str">
        <f>"*Oregon Dividend Strategy (*QDGR)"</f>
        <v>*Oregon Dividend Strategy (*QDGR)</v>
      </c>
      <c r="C25" s="2">
        <v>4.5199999999999997E-2</v>
      </c>
      <c r="D25" t="str">
        <f>"PFG"</f>
        <v>PFG</v>
      </c>
      <c r="E25" t="str">
        <f>"74251V102"</f>
        <v>74251V102</v>
      </c>
      <c r="F25" t="str">
        <f>"Principal Financial"</f>
        <v>Principal Financial</v>
      </c>
      <c r="G25" s="3">
        <v>1018</v>
      </c>
    </row>
    <row r="26" spans="1:7" x14ac:dyDescent="0.25">
      <c r="A26" s="1">
        <v>46080</v>
      </c>
      <c r="B26" t="str">
        <f>"*Oregon Dividend Strategy (*QDGR)"</f>
        <v>*Oregon Dividend Strategy (*QDGR)</v>
      </c>
      <c r="C26" s="2">
        <v>1.7999999999999999E-2</v>
      </c>
      <c r="D26" t="str">
        <f>"PG"</f>
        <v>PG</v>
      </c>
      <c r="E26">
        <v>742718109</v>
      </c>
      <c r="F26" t="str">
        <f>"Procter &amp; Gamble"</f>
        <v>Procter &amp; Gamble</v>
      </c>
      <c r="G26" s="3">
        <v>232</v>
      </c>
    </row>
    <row r="27" spans="1:7" x14ac:dyDescent="0.25">
      <c r="A27" s="1">
        <v>46080</v>
      </c>
      <c r="B27" t="str">
        <f>"*Oregon Dividend Strategy (*QDGR)"</f>
        <v>*Oregon Dividend Strategy (*QDGR)</v>
      </c>
      <c r="C27" s="2">
        <v>2.5899999999999999E-2</v>
      </c>
      <c r="D27" t="str">
        <f>"DGX"</f>
        <v>DGX</v>
      </c>
      <c r="E27" t="str">
        <f>"74834L100"</f>
        <v>74834L100</v>
      </c>
      <c r="F27" t="str">
        <f>"Quest Diagnostics"</f>
        <v>Quest Diagnostics</v>
      </c>
      <c r="G27" s="3">
        <v>263</v>
      </c>
    </row>
    <row r="28" spans="1:7" x14ac:dyDescent="0.25">
      <c r="A28" s="1">
        <v>46080</v>
      </c>
      <c r="B28" t="str">
        <f>"*Oregon Dividend Strategy (*QDGR)"</f>
        <v>*Oregon Dividend Strategy (*QDGR)</v>
      </c>
      <c r="C28" s="2">
        <v>2.92E-2</v>
      </c>
      <c r="D28" t="str">
        <f>"O"</f>
        <v>O</v>
      </c>
      <c r="E28">
        <v>756109104</v>
      </c>
      <c r="F28" t="str">
        <f>"Realty Income"</f>
        <v>Realty Income</v>
      </c>
      <c r="G28" s="3">
        <v>938</v>
      </c>
    </row>
    <row r="29" spans="1:7" x14ac:dyDescent="0.25">
      <c r="A29" s="1">
        <v>46080</v>
      </c>
      <c r="B29" t="str">
        <f>"*Oregon Dividend Strategy (*QDGR)"</f>
        <v>*Oregon Dividend Strategy (*QDGR)</v>
      </c>
      <c r="C29" s="2">
        <v>3.04E-2</v>
      </c>
      <c r="D29" t="str">
        <f>"RGA"</f>
        <v>RGA</v>
      </c>
      <c r="E29">
        <v>759351604</v>
      </c>
      <c r="F29" t="str">
        <f>"Reinsurance Group of America"</f>
        <v>Reinsurance Group of America</v>
      </c>
      <c r="G29" s="3">
        <v>303</v>
      </c>
    </row>
    <row r="30" spans="1:7" x14ac:dyDescent="0.25">
      <c r="A30" s="1">
        <v>46080</v>
      </c>
      <c r="B30" t="str">
        <f>"*Oregon Dividend Strategy (*QDGR)"</f>
        <v>*Oregon Dividend Strategy (*QDGR)</v>
      </c>
      <c r="C30" s="2">
        <v>3.39E-2</v>
      </c>
      <c r="D30" t="str">
        <f>"RHI"</f>
        <v>RHI</v>
      </c>
      <c r="E30">
        <v>770323103</v>
      </c>
      <c r="F30" t="str">
        <f>"Robert Half International"</f>
        <v>Robert Half International</v>
      </c>
      <c r="G30" s="3">
        <v>2988</v>
      </c>
    </row>
    <row r="31" spans="1:7" x14ac:dyDescent="0.25">
      <c r="A31" s="1">
        <v>46080</v>
      </c>
      <c r="B31" t="str">
        <f>"*Oregon Dividend Strategy (*QDGR)"</f>
        <v>*Oregon Dividend Strategy (*QDGR)</v>
      </c>
      <c r="C31" s="2">
        <v>2.01E-2</v>
      </c>
      <c r="D31" t="str">
        <f>"SWK"</f>
        <v>SWK</v>
      </c>
      <c r="E31">
        <v>854502101</v>
      </c>
      <c r="F31" t="str">
        <f>"Stanley Black &amp; Decker"</f>
        <v>Stanley Black &amp; Decker</v>
      </c>
      <c r="G31" s="3">
        <v>500</v>
      </c>
    </row>
    <row r="32" spans="1:7" x14ac:dyDescent="0.25">
      <c r="A32" s="1">
        <v>46080</v>
      </c>
      <c r="B32" t="str">
        <f>"*Oregon Dividend Strategy (*QDGR)"</f>
        <v>*Oregon Dividend Strategy (*QDGR)</v>
      </c>
      <c r="C32" s="2">
        <v>2.3199999999999998E-2</v>
      </c>
      <c r="D32" t="str">
        <f>"TROW"</f>
        <v>TROW</v>
      </c>
      <c r="E32" t="str">
        <f>"74144T108"</f>
        <v>74144T108</v>
      </c>
      <c r="F32" t="str">
        <f>"T. Rowe Price"</f>
        <v>T. Rowe Price</v>
      </c>
      <c r="G32" s="3">
        <v>526</v>
      </c>
    </row>
    <row r="33" spans="1:7" x14ac:dyDescent="0.25">
      <c r="A33" s="1">
        <v>46080</v>
      </c>
      <c r="B33" t="str">
        <f>"*Oregon Dividend Strategy (*QDGR)"</f>
        <v>*Oregon Dividend Strategy (*QDGR)</v>
      </c>
      <c r="C33" s="2">
        <v>2.3800000000000002E-2</v>
      </c>
      <c r="D33" t="str">
        <f>"TXN"</f>
        <v>TXN</v>
      </c>
      <c r="E33">
        <v>882508104</v>
      </c>
      <c r="F33" t="str">
        <f>"Texas Instruments"</f>
        <v>Texas Instruments</v>
      </c>
      <c r="G33" s="3">
        <v>241</v>
      </c>
    </row>
    <row r="34" spans="1:7" x14ac:dyDescent="0.25">
      <c r="A34" s="1">
        <v>46080</v>
      </c>
      <c r="B34" t="str">
        <f>"*Oregon Dividend Strategy (*QDGR)"</f>
        <v>*Oregon Dividend Strategy (*QDGR)</v>
      </c>
      <c r="C34" s="2">
        <v>2.86E-2</v>
      </c>
      <c r="D34" t="str">
        <f>"UL"</f>
        <v>UL</v>
      </c>
      <c r="E34">
        <v>904767803</v>
      </c>
      <c r="F34" t="str">
        <f>"Unilever PLC"</f>
        <v>Unilever PLC</v>
      </c>
      <c r="G34" s="3">
        <v>834</v>
      </c>
    </row>
    <row r="35" spans="1:7" x14ac:dyDescent="0.25">
      <c r="A35" s="1">
        <v>46080</v>
      </c>
      <c r="B35" t="str">
        <f>"*Oregon Dividend Strategy (*QDGR)"</f>
        <v>*Oregon Dividend Strategy (*QDGR)</v>
      </c>
      <c r="C35" s="2">
        <v>1.9599999999999999E-2</v>
      </c>
      <c r="D35" t="str">
        <f>"UNP"</f>
        <v>UNP</v>
      </c>
      <c r="E35">
        <v>907818108</v>
      </c>
      <c r="F35" t="str">
        <f>"Union Pacific"</f>
        <v>Union Pacific</v>
      </c>
      <c r="G35" s="3">
        <v>159</v>
      </c>
    </row>
    <row r="36" spans="1:7" x14ac:dyDescent="0.25">
      <c r="A36" s="1">
        <v>46080</v>
      </c>
      <c r="B36" t="str">
        <f>"*Oregon Dividend Strategy (*QDGR)"</f>
        <v>*Oregon Dividend Strategy (*QDGR)</v>
      </c>
      <c r="C36" s="2">
        <v>2.3599999999999999E-2</v>
      </c>
      <c r="D36" t="str">
        <f>"UPS"</f>
        <v>UPS</v>
      </c>
      <c r="E36">
        <v>911312106</v>
      </c>
      <c r="F36" t="str">
        <f>"United Parcel Service"</f>
        <v>United Parcel Service</v>
      </c>
      <c r="G36" s="3">
        <v>438</v>
      </c>
    </row>
    <row r="37" spans="1:7" x14ac:dyDescent="0.25">
      <c r="A37" s="1">
        <v>46080</v>
      </c>
      <c r="B37" t="str">
        <f>"*Oregon Dividend Strategy (*QDGR)"</f>
        <v>*Oregon Dividend Strategy (*QDGR)</v>
      </c>
      <c r="C37" s="2">
        <v>2.7099999999999999E-2</v>
      </c>
      <c r="D37" t="str">
        <f>"VZ"</f>
        <v>VZ</v>
      </c>
      <c r="E37" t="str">
        <f>"92343V104"</f>
        <v>92343V104</v>
      </c>
      <c r="F37" t="str">
        <f>"Verizon"</f>
        <v>Verizon</v>
      </c>
      <c r="G37" s="3">
        <v>1163</v>
      </c>
    </row>
    <row r="38" spans="1:7" x14ac:dyDescent="0.25">
      <c r="A38" s="1">
        <v>46080</v>
      </c>
      <c r="B38" t="str">
        <f>"*Oregon Dividend Strategy (*QDGR)"</f>
        <v>*Oregon Dividend Strategy (*QDGR)</v>
      </c>
      <c r="C38" s="2">
        <v>0.10780000000000001</v>
      </c>
      <c r="D38" t="str">
        <f>"CASH"</f>
        <v>CASH</v>
      </c>
      <c r="E38" t="str">
        <f>""</f>
        <v/>
      </c>
      <c r="F38" t="str">
        <f>"Cash"</f>
        <v>Cash</v>
      </c>
      <c r="G38" s="3">
        <v>231795.9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864B-919B-4BF6-8DB5-7DB5B60F51C3}">
  <dimension ref="A1:G46"/>
  <sheetViews>
    <sheetView zoomScale="85" zoomScaleNormal="85" workbookViewId="0"/>
  </sheetViews>
  <sheetFormatPr defaultRowHeight="15" x14ac:dyDescent="0.25"/>
  <cols>
    <col min="1" max="1" width="9.7109375" bestFit="1" customWidth="1"/>
    <col min="2" max="2" width="23.5703125" bestFit="1" customWidth="1"/>
    <col min="3" max="3" width="7" bestFit="1" customWidth="1"/>
    <col min="4" max="4" width="7.42578125" bestFit="1" customWidth="1"/>
    <col min="5" max="5" width="10.7109375" bestFit="1" customWidth="1"/>
    <col min="6" max="6" width="38.7109375" bestFit="1" customWidth="1"/>
    <col min="7" max="7" width="9.7109375" bestFit="1" customWidth="1"/>
  </cols>
  <sheetData>
    <row r="1" spans="1:7" x14ac:dyDescent="0.25">
      <c r="A1" t="str">
        <f>"As of Date"</f>
        <v>As of Date</v>
      </c>
      <c r="B1" t="str">
        <f>"Data For"</f>
        <v>Data For</v>
      </c>
      <c r="C1" t="str">
        <f>"Weight"</f>
        <v>Weight</v>
      </c>
      <c r="D1" t="str">
        <f>"Symbol"</f>
        <v>Symbol</v>
      </c>
      <c r="E1" t="str">
        <f>"CUSIP"</f>
        <v>CUSIP</v>
      </c>
      <c r="F1" t="str">
        <f>"Description"</f>
        <v>Description</v>
      </c>
      <c r="G1" t="str">
        <f>"Quantity"</f>
        <v>Quantity</v>
      </c>
    </row>
    <row r="2" spans="1:7" x14ac:dyDescent="0.25">
      <c r="A2" s="1">
        <v>46080</v>
      </c>
      <c r="B2" t="s">
        <v>0</v>
      </c>
      <c r="C2" s="2">
        <v>2.7699999999999999E-2</v>
      </c>
      <c r="D2" t="str">
        <f>"AMGN"</f>
        <v>AMGN</v>
      </c>
      <c r="E2" t="str">
        <f>"031162100"</f>
        <v>031162100</v>
      </c>
      <c r="F2" t="str">
        <f>"Amgen"</f>
        <v>Amgen</v>
      </c>
      <c r="G2" s="3">
        <v>147</v>
      </c>
    </row>
    <row r="3" spans="1:7" x14ac:dyDescent="0.25">
      <c r="A3" s="1">
        <v>46080</v>
      </c>
      <c r="B3" t="s">
        <v>0</v>
      </c>
      <c r="C3" s="2">
        <v>2.3199999999999998E-2</v>
      </c>
      <c r="D3" t="str">
        <f>"ASML"</f>
        <v>ASML</v>
      </c>
      <c r="E3" t="str">
        <f>"N07059210"</f>
        <v>N07059210</v>
      </c>
      <c r="F3" t="str">
        <f>"ASML Holding"</f>
        <v>ASML Holding</v>
      </c>
      <c r="G3" s="3">
        <v>33</v>
      </c>
    </row>
    <row r="4" spans="1:7" x14ac:dyDescent="0.25">
      <c r="A4" s="1">
        <v>46080</v>
      </c>
      <c r="B4" t="s">
        <v>0</v>
      </c>
      <c r="C4" s="2">
        <v>1.7399999999999999E-2</v>
      </c>
      <c r="D4" t="str">
        <f>"BKH"</f>
        <v>BKH</v>
      </c>
      <c r="E4" t="str">
        <f>"092113109"</f>
        <v>092113109</v>
      </c>
      <c r="F4" t="str">
        <f>"Black Hills"</f>
        <v>Black Hills</v>
      </c>
      <c r="G4" s="3">
        <v>488</v>
      </c>
    </row>
    <row r="5" spans="1:7" x14ac:dyDescent="0.25">
      <c r="A5" s="1">
        <v>46080</v>
      </c>
      <c r="B5" t="s">
        <v>0</v>
      </c>
      <c r="C5" s="2">
        <v>0.09</v>
      </c>
      <c r="D5" t="str">
        <f>"CGGR"</f>
        <v>CGGR</v>
      </c>
      <c r="E5" t="str">
        <f>"14020G101"</f>
        <v>14020G101</v>
      </c>
      <c r="F5" t="str">
        <f>"Capital Group Growth ETF"</f>
        <v>Capital Group Growth ETF</v>
      </c>
      <c r="G5" s="3">
        <v>4300</v>
      </c>
    </row>
    <row r="6" spans="1:7" x14ac:dyDescent="0.25">
      <c r="A6" s="1">
        <v>46080</v>
      </c>
      <c r="B6" t="s">
        <v>0</v>
      </c>
      <c r="C6" s="2">
        <v>1.83E-2</v>
      </c>
      <c r="D6" t="str">
        <f>"CVX"</f>
        <v>CVX</v>
      </c>
      <c r="E6">
        <v>166764100</v>
      </c>
      <c r="F6" t="str">
        <f>"Chevron"</f>
        <v>Chevron</v>
      </c>
      <c r="G6" s="3">
        <v>202</v>
      </c>
    </row>
    <row r="7" spans="1:7" x14ac:dyDescent="0.25">
      <c r="A7" s="1">
        <v>46080</v>
      </c>
      <c r="B7" t="s">
        <v>0</v>
      </c>
      <c r="C7" s="2">
        <v>1.6899999999999998E-2</v>
      </c>
      <c r="D7" t="str">
        <f>"CSCO"</f>
        <v>CSCO</v>
      </c>
      <c r="E7" t="str">
        <f>"17275R102"</f>
        <v>17275R102</v>
      </c>
      <c r="F7" t="str">
        <f>"Cisco Systems"</f>
        <v>Cisco Systems</v>
      </c>
      <c r="G7" s="3">
        <v>439</v>
      </c>
    </row>
    <row r="8" spans="1:7" x14ac:dyDescent="0.25">
      <c r="A8" s="1">
        <v>46080</v>
      </c>
      <c r="B8" t="s">
        <v>0</v>
      </c>
      <c r="C8" s="2">
        <v>1.0699999999999999E-2</v>
      </c>
      <c r="D8" t="str">
        <f>"CLX"</f>
        <v>CLX</v>
      </c>
      <c r="E8">
        <v>189054109</v>
      </c>
      <c r="F8" t="str">
        <f>"Clorox"</f>
        <v>Clorox</v>
      </c>
      <c r="G8" s="3">
        <v>174</v>
      </c>
    </row>
    <row r="9" spans="1:7" x14ac:dyDescent="0.25">
      <c r="A9" s="1">
        <v>46080</v>
      </c>
      <c r="B9" t="s">
        <v>0</v>
      </c>
      <c r="C9" s="2">
        <v>2.01E-2</v>
      </c>
      <c r="D9" t="str">
        <f>"CME"</f>
        <v>CME</v>
      </c>
      <c r="E9" t="str">
        <f>"12572Q105"</f>
        <v>12572Q105</v>
      </c>
      <c r="F9" t="str">
        <f>"CME Group"</f>
        <v>CME Group</v>
      </c>
      <c r="G9" s="3">
        <v>130</v>
      </c>
    </row>
    <row r="10" spans="1:7" x14ac:dyDescent="0.25">
      <c r="A10" s="1">
        <v>46080</v>
      </c>
      <c r="B10" t="s">
        <v>0</v>
      </c>
      <c r="C10" s="2">
        <v>1.35E-2</v>
      </c>
      <c r="D10" t="str">
        <f>"KOF"</f>
        <v>KOF</v>
      </c>
      <c r="E10">
        <v>191241108</v>
      </c>
      <c r="F10" t="str">
        <f>"Coca-Cola Femsa"</f>
        <v>Coca-Cola Femsa</v>
      </c>
      <c r="G10" s="3">
        <v>250</v>
      </c>
    </row>
    <row r="11" spans="1:7" x14ac:dyDescent="0.25">
      <c r="A11" s="1">
        <v>46080</v>
      </c>
      <c r="B11" t="s">
        <v>0</v>
      </c>
      <c r="C11" s="2">
        <v>1.84E-2</v>
      </c>
      <c r="D11" t="str">
        <f>"CFR"</f>
        <v>CFR</v>
      </c>
      <c r="E11">
        <v>229899109</v>
      </c>
      <c r="F11" t="str">
        <f>"Cullen/Frost Bankers"</f>
        <v>Cullen/Frost Bankers</v>
      </c>
      <c r="G11" s="3">
        <v>275</v>
      </c>
    </row>
    <row r="12" spans="1:7" x14ac:dyDescent="0.25">
      <c r="A12" s="1">
        <v>46080</v>
      </c>
      <c r="B12" t="s">
        <v>0</v>
      </c>
      <c r="C12" s="2">
        <v>7.6E-3</v>
      </c>
      <c r="D12" t="str">
        <f>"DVN"</f>
        <v>DVN</v>
      </c>
      <c r="E12" t="str">
        <f>"25179M103"</f>
        <v>25179M103</v>
      </c>
      <c r="F12" t="str">
        <f>"Devon Energy"</f>
        <v>Devon Energy</v>
      </c>
      <c r="G12" s="3">
        <v>362</v>
      </c>
    </row>
    <row r="13" spans="1:7" x14ac:dyDescent="0.25">
      <c r="A13" s="1">
        <v>46080</v>
      </c>
      <c r="B13" t="s">
        <v>0</v>
      </c>
      <c r="C13" s="2">
        <v>9.1999999999999998E-3</v>
      </c>
      <c r="D13" t="str">
        <f>"ETR"</f>
        <v>ETR</v>
      </c>
      <c r="E13" t="str">
        <f>"29364G103"</f>
        <v>29364G103</v>
      </c>
      <c r="F13" t="str">
        <f>"Entergy"</f>
        <v>Entergy</v>
      </c>
      <c r="G13" s="3">
        <v>177</v>
      </c>
    </row>
    <row r="14" spans="1:7" x14ac:dyDescent="0.25">
      <c r="A14" s="1">
        <v>46080</v>
      </c>
      <c r="B14" t="s">
        <v>0</v>
      </c>
      <c r="C14" s="2">
        <v>1.66E-2</v>
      </c>
      <c r="D14" t="str">
        <f>"XOM"</f>
        <v>XOM</v>
      </c>
      <c r="E14" t="str">
        <f>"30231G102"</f>
        <v>30231G102</v>
      </c>
      <c r="F14" t="str">
        <f>"Exxon Mobil"</f>
        <v>Exxon Mobil</v>
      </c>
      <c r="G14" s="3">
        <v>224</v>
      </c>
    </row>
    <row r="15" spans="1:7" x14ac:dyDescent="0.25">
      <c r="A15" s="1">
        <v>46080</v>
      </c>
      <c r="B15" t="s">
        <v>0</v>
      </c>
      <c r="C15" s="2">
        <v>1.4500000000000001E-2</v>
      </c>
      <c r="D15" t="str">
        <f>"GD"</f>
        <v>GD</v>
      </c>
      <c r="E15">
        <v>369550108</v>
      </c>
      <c r="F15" t="str">
        <f>"General Dynamics"</f>
        <v>General Dynamics</v>
      </c>
      <c r="G15" s="3">
        <v>84</v>
      </c>
    </row>
    <row r="16" spans="1:7" x14ac:dyDescent="0.25">
      <c r="A16" s="1">
        <v>46080</v>
      </c>
      <c r="B16" t="s">
        <v>0</v>
      </c>
      <c r="C16" s="2">
        <v>5.4000000000000003E-3</v>
      </c>
      <c r="D16" t="str">
        <f>"HD"</f>
        <v>HD</v>
      </c>
      <c r="E16">
        <v>437076102</v>
      </c>
      <c r="F16" t="str">
        <f>"Home Depot"</f>
        <v>Home Depot</v>
      </c>
      <c r="G16" s="3">
        <v>29</v>
      </c>
    </row>
    <row r="17" spans="1:7" x14ac:dyDescent="0.25">
      <c r="A17" s="1">
        <v>46080</v>
      </c>
      <c r="B17" t="s">
        <v>0</v>
      </c>
      <c r="C17" s="2">
        <v>5.4399999999999997E-2</v>
      </c>
      <c r="D17" t="str">
        <f>"PXF"</f>
        <v>PXF</v>
      </c>
      <c r="E17" t="str">
        <f>"46138E743"</f>
        <v>46138E743</v>
      </c>
      <c r="F17" t="str">
        <f>"Invesco RAFI Developed Markets ex-US ETF"</f>
        <v>Invesco RAFI Developed Markets ex-US ETF</v>
      </c>
      <c r="G17" s="3">
        <v>1475</v>
      </c>
    </row>
    <row r="18" spans="1:7" x14ac:dyDescent="0.25">
      <c r="A18" s="1">
        <v>46080</v>
      </c>
      <c r="B18" t="s">
        <v>0</v>
      </c>
      <c r="C18" s="2">
        <v>3.7400000000000003E-2</v>
      </c>
      <c r="D18" t="str">
        <f>"PXH"</f>
        <v>PXH</v>
      </c>
      <c r="E18" t="str">
        <f>"46138E727"</f>
        <v>46138E727</v>
      </c>
      <c r="F18" t="str">
        <f>"Invesco RAFI Emerging Markets ETF"</f>
        <v>Invesco RAFI Emerging Markets ETF</v>
      </c>
      <c r="G18" s="3">
        <v>2706</v>
      </c>
    </row>
    <row r="19" spans="1:7" x14ac:dyDescent="0.25">
      <c r="A19" s="1">
        <v>46080</v>
      </c>
      <c r="B19" t="s">
        <v>0</v>
      </c>
      <c r="C19" s="2">
        <v>9.8400000000000001E-2</v>
      </c>
      <c r="D19" t="str">
        <f>"PRFZ"</f>
        <v>PRFZ</v>
      </c>
      <c r="E19" t="str">
        <f>"46137V597"</f>
        <v>46137V597</v>
      </c>
      <c r="F19" t="str">
        <f>"Invesco RAFI US 1500 Small-Mid ETF"</f>
        <v>Invesco RAFI US 1500 Small-Mid ETF</v>
      </c>
      <c r="G19" s="3">
        <v>4190</v>
      </c>
    </row>
    <row r="20" spans="1:7" x14ac:dyDescent="0.25">
      <c r="A20" s="1">
        <v>46080</v>
      </c>
      <c r="B20" t="s">
        <v>0</v>
      </c>
      <c r="C20" s="2">
        <v>9.74E-2</v>
      </c>
      <c r="D20" t="str">
        <f>"RSP"</f>
        <v>RSP</v>
      </c>
      <c r="E20" t="str">
        <f>"46137V357"</f>
        <v>46137V357</v>
      </c>
      <c r="F20" t="str">
        <f>"Invesco S&amp;P 500® Equal Weight ETF"</f>
        <v>Invesco S&amp;P 500® Equal Weight ETF</v>
      </c>
      <c r="G20" s="3">
        <v>980</v>
      </c>
    </row>
    <row r="21" spans="1:7" x14ac:dyDescent="0.25">
      <c r="A21" s="1">
        <v>46080</v>
      </c>
      <c r="B21" t="s">
        <v>0</v>
      </c>
      <c r="C21" s="2">
        <v>2.53E-2</v>
      </c>
      <c r="D21" t="str">
        <f>"EWZ"</f>
        <v>EWZ</v>
      </c>
      <c r="E21">
        <v>464286400</v>
      </c>
      <c r="F21" t="str">
        <f>"IShares Brazil ETF"</f>
        <v>IShares Brazil ETF</v>
      </c>
      <c r="G21" s="3">
        <v>1350</v>
      </c>
    </row>
    <row r="22" spans="1:7" x14ac:dyDescent="0.25">
      <c r="A22" s="1">
        <v>46080</v>
      </c>
      <c r="B22" t="s">
        <v>0</v>
      </c>
      <c r="C22" s="2">
        <v>1.9E-2</v>
      </c>
      <c r="D22" t="str">
        <f>"JNJ"</f>
        <v>JNJ</v>
      </c>
      <c r="E22">
        <v>478160104</v>
      </c>
      <c r="F22" t="str">
        <f>"Johnson &amp; Johnson"</f>
        <v>Johnson &amp; Johnson</v>
      </c>
      <c r="G22" s="3">
        <v>158</v>
      </c>
    </row>
    <row r="23" spans="1:7" x14ac:dyDescent="0.25">
      <c r="A23" s="1">
        <v>46080</v>
      </c>
      <c r="B23" t="s">
        <v>0</v>
      </c>
      <c r="C23" s="2">
        <v>1.44E-2</v>
      </c>
      <c r="D23" t="str">
        <f>"JPM"</f>
        <v>JPM</v>
      </c>
      <c r="E23" t="str">
        <f>"46625H100"</f>
        <v>46625H100</v>
      </c>
      <c r="F23" t="str">
        <f>"JPMorgan Chase"</f>
        <v>JPMorgan Chase</v>
      </c>
      <c r="G23" s="3">
        <v>99</v>
      </c>
    </row>
    <row r="24" spans="1:7" x14ac:dyDescent="0.25">
      <c r="A24" s="1">
        <v>46080</v>
      </c>
      <c r="B24" t="s">
        <v>0</v>
      </c>
      <c r="C24" s="2">
        <v>1.2800000000000001E-2</v>
      </c>
      <c r="D24" t="str">
        <f>"MKC"</f>
        <v>MKC</v>
      </c>
      <c r="E24">
        <v>579780206</v>
      </c>
      <c r="F24" t="str">
        <f>"McCormick &amp; Co."</f>
        <v>McCormick &amp; Co.</v>
      </c>
      <c r="G24" s="3">
        <v>371</v>
      </c>
    </row>
    <row r="25" spans="1:7" x14ac:dyDescent="0.25">
      <c r="A25" s="1">
        <v>46080</v>
      </c>
      <c r="B25" t="s">
        <v>0</v>
      </c>
      <c r="C25" s="2">
        <v>1.18E-2</v>
      </c>
      <c r="D25" t="str">
        <f>"MDT"</f>
        <v>MDT</v>
      </c>
      <c r="E25" t="str">
        <f>"G5960L103"</f>
        <v>G5960L103</v>
      </c>
      <c r="F25" t="str">
        <f>"Medtronic"</f>
        <v>Medtronic</v>
      </c>
      <c r="G25" s="3">
        <v>250</v>
      </c>
    </row>
    <row r="26" spans="1:7" x14ac:dyDescent="0.25">
      <c r="A26" s="1">
        <v>46080</v>
      </c>
      <c r="B26" t="s">
        <v>0</v>
      </c>
      <c r="C26" s="2">
        <v>0.02</v>
      </c>
      <c r="D26" t="str">
        <f>"MSFT"</f>
        <v>MSFT</v>
      </c>
      <c r="E26">
        <v>594918104</v>
      </c>
      <c r="F26" t="str">
        <f>"Microsoft"</f>
        <v>Microsoft</v>
      </c>
      <c r="G26" s="3">
        <v>105</v>
      </c>
    </row>
    <row r="27" spans="1:7" x14ac:dyDescent="0.25">
      <c r="A27" s="1">
        <v>46080</v>
      </c>
      <c r="B27" t="s">
        <v>0</v>
      </c>
      <c r="C27" s="2">
        <v>8.3000000000000001E-3</v>
      </c>
      <c r="D27" t="str">
        <f>"NKE"</f>
        <v>NKE</v>
      </c>
      <c r="E27">
        <v>654106103</v>
      </c>
      <c r="F27" t="str">
        <f>"Nike"</f>
        <v>Nike</v>
      </c>
      <c r="G27" s="3">
        <v>275</v>
      </c>
    </row>
    <row r="28" spans="1:7" x14ac:dyDescent="0.25">
      <c r="A28" s="1">
        <v>46080</v>
      </c>
      <c r="B28" t="s">
        <v>0</v>
      </c>
      <c r="C28" s="2">
        <v>8.6E-3</v>
      </c>
      <c r="D28" t="str">
        <f>"NVO"</f>
        <v>NVO</v>
      </c>
      <c r="E28">
        <v>670100205</v>
      </c>
      <c r="F28" t="str">
        <f>"Novo Nordisk"</f>
        <v>Novo Nordisk</v>
      </c>
      <c r="G28" s="3">
        <v>475</v>
      </c>
    </row>
    <row r="29" spans="1:7" x14ac:dyDescent="0.25">
      <c r="A29" s="1">
        <v>46080</v>
      </c>
      <c r="B29" t="s">
        <v>0</v>
      </c>
      <c r="C29" s="2">
        <v>1.09E-2</v>
      </c>
      <c r="D29" t="str">
        <f>"PEP"</f>
        <v>PEP</v>
      </c>
      <c r="E29">
        <v>713448108</v>
      </c>
      <c r="F29" t="str">
        <f>"Pepsi"</f>
        <v>Pepsi</v>
      </c>
      <c r="G29" s="3">
        <v>132</v>
      </c>
    </row>
    <row r="30" spans="1:7" x14ac:dyDescent="0.25">
      <c r="A30" s="1">
        <v>46080</v>
      </c>
      <c r="B30" t="s">
        <v>0</v>
      </c>
      <c r="C30" s="2">
        <v>8.6999999999999994E-3</v>
      </c>
      <c r="D30" t="str">
        <f>"PFE"</f>
        <v>PFE</v>
      </c>
      <c r="E30">
        <v>717081103</v>
      </c>
      <c r="F30" t="str">
        <f>"Pfizer"</f>
        <v>Pfizer</v>
      </c>
      <c r="G30" s="3">
        <v>650</v>
      </c>
    </row>
    <row r="31" spans="1:7" x14ac:dyDescent="0.25">
      <c r="A31" s="1">
        <v>46080</v>
      </c>
      <c r="B31" t="s">
        <v>0</v>
      </c>
      <c r="C31" s="2">
        <v>1.04E-2</v>
      </c>
      <c r="D31" t="str">
        <f>"PSX"</f>
        <v>PSX</v>
      </c>
      <c r="E31">
        <v>718546104</v>
      </c>
      <c r="F31" t="str">
        <f>"Phillips 66"</f>
        <v>Phillips 66</v>
      </c>
      <c r="G31" s="3">
        <v>139</v>
      </c>
    </row>
    <row r="32" spans="1:7" x14ac:dyDescent="0.25">
      <c r="A32" s="1">
        <v>46080</v>
      </c>
      <c r="B32" t="s">
        <v>0</v>
      </c>
      <c r="C32" s="2">
        <v>1.37E-2</v>
      </c>
      <c r="D32" t="str">
        <f>"POR"</f>
        <v>POR</v>
      </c>
      <c r="E32">
        <v>736508847</v>
      </c>
      <c r="F32" t="str">
        <f>"Portland General Electric Co"</f>
        <v>Portland General Electric Co</v>
      </c>
      <c r="G32" s="3">
        <v>524</v>
      </c>
    </row>
    <row r="33" spans="1:7" x14ac:dyDescent="0.25">
      <c r="A33" s="1">
        <v>46080</v>
      </c>
      <c r="B33" t="s">
        <v>0</v>
      </c>
      <c r="C33" s="2">
        <v>1.14E-2</v>
      </c>
      <c r="D33" t="str">
        <f>"PG"</f>
        <v>PG</v>
      </c>
      <c r="E33">
        <v>742718109</v>
      </c>
      <c r="F33" t="str">
        <f>"Procter &amp; Gamble"</f>
        <v>Procter &amp; Gamble</v>
      </c>
      <c r="G33" s="3">
        <v>141</v>
      </c>
    </row>
    <row r="34" spans="1:7" x14ac:dyDescent="0.25">
      <c r="A34" s="1">
        <v>46080</v>
      </c>
      <c r="B34" t="s">
        <v>0</v>
      </c>
      <c r="C34" s="2">
        <v>8.8000000000000005E-3</v>
      </c>
      <c r="D34" t="str">
        <f>"O"</f>
        <v>O</v>
      </c>
      <c r="E34">
        <v>756109104</v>
      </c>
      <c r="F34" t="str">
        <f>"Realty Income"</f>
        <v>Realty Income</v>
      </c>
      <c r="G34" s="3">
        <v>272</v>
      </c>
    </row>
    <row r="35" spans="1:7" x14ac:dyDescent="0.25">
      <c r="A35" s="1">
        <v>46080</v>
      </c>
      <c r="B35" t="s">
        <v>0</v>
      </c>
      <c r="C35" s="2">
        <v>1.0500000000000001E-2</v>
      </c>
      <c r="D35" t="str">
        <f>"RGA"</f>
        <v>RGA</v>
      </c>
      <c r="E35">
        <v>759351604</v>
      </c>
      <c r="F35" t="str">
        <f>"Reinsurance Group of America"</f>
        <v>Reinsurance Group of America</v>
      </c>
      <c r="G35" s="3">
        <v>100</v>
      </c>
    </row>
    <row r="36" spans="1:7" x14ac:dyDescent="0.25">
      <c r="A36" s="1">
        <v>46080</v>
      </c>
      <c r="B36" t="s">
        <v>0</v>
      </c>
      <c r="C36" s="2">
        <v>4.3E-3</v>
      </c>
      <c r="D36" t="str">
        <f>"RHI"</f>
        <v>RHI</v>
      </c>
      <c r="E36">
        <v>770323103</v>
      </c>
      <c r="F36" t="str">
        <f>"Robert Half International"</f>
        <v>Robert Half International</v>
      </c>
      <c r="G36" s="3">
        <v>360</v>
      </c>
    </row>
    <row r="37" spans="1:7" x14ac:dyDescent="0.25">
      <c r="A37" s="1">
        <v>46080</v>
      </c>
      <c r="B37" t="s">
        <v>0</v>
      </c>
      <c r="C37" s="2">
        <v>6.9599999999999995E-2</v>
      </c>
      <c r="D37" t="str">
        <f>"XOP"</f>
        <v>XOP</v>
      </c>
      <c r="E37" t="str">
        <f>"78468R556"</f>
        <v>78468R556</v>
      </c>
      <c r="F37" t="str">
        <f>"SPDR® S&amp;P Oil &amp; Gas Explor &amp; Prodtn ETF"</f>
        <v>SPDR® S&amp;P Oil &amp; Gas Explor &amp; Prodtn ETF</v>
      </c>
      <c r="G37" s="3">
        <v>934</v>
      </c>
    </row>
    <row r="38" spans="1:7" x14ac:dyDescent="0.25">
      <c r="A38" s="1">
        <v>46080</v>
      </c>
      <c r="B38" t="s">
        <v>0</v>
      </c>
      <c r="C38" s="2">
        <v>8.0000000000000002E-3</v>
      </c>
      <c r="D38" t="str">
        <f>"TROW"</f>
        <v>TROW</v>
      </c>
      <c r="E38" t="str">
        <f>"74144T108"</f>
        <v>74144T108</v>
      </c>
      <c r="F38" t="str">
        <f>"T. Rowe Price"</f>
        <v>T. Rowe Price</v>
      </c>
      <c r="G38" s="3">
        <v>175</v>
      </c>
    </row>
    <row r="39" spans="1:7" x14ac:dyDescent="0.25">
      <c r="A39" s="1">
        <v>46080</v>
      </c>
      <c r="B39" t="s">
        <v>0</v>
      </c>
      <c r="C39" s="2">
        <v>1.54E-2</v>
      </c>
      <c r="D39" t="str">
        <f>"TXN"</f>
        <v>TXN</v>
      </c>
      <c r="E39">
        <v>882508104</v>
      </c>
      <c r="F39" t="str">
        <f>"Texas Instruments"</f>
        <v>Texas Instruments</v>
      </c>
      <c r="G39" s="3">
        <v>150</v>
      </c>
    </row>
    <row r="40" spans="1:7" x14ac:dyDescent="0.25">
      <c r="A40" s="1">
        <v>46080</v>
      </c>
      <c r="B40" t="s">
        <v>0</v>
      </c>
      <c r="C40" s="2">
        <v>1.01E-2</v>
      </c>
      <c r="D40" t="str">
        <f>"TTE"</f>
        <v>TTE</v>
      </c>
      <c r="E40" t="str">
        <f>"F92124100"</f>
        <v>F92124100</v>
      </c>
      <c r="F40" t="str">
        <f>"Total SA"</f>
        <v>Total SA</v>
      </c>
      <c r="G40" s="3">
        <v>259</v>
      </c>
    </row>
    <row r="41" spans="1:7" x14ac:dyDescent="0.25">
      <c r="A41" s="1">
        <v>46080</v>
      </c>
      <c r="B41" t="s">
        <v>0</v>
      </c>
      <c r="C41" s="2">
        <v>1.4800000000000001E-2</v>
      </c>
      <c r="D41" t="str">
        <f>"UL"</f>
        <v>UL</v>
      </c>
      <c r="E41">
        <v>904767803</v>
      </c>
      <c r="F41" t="str">
        <f>"Unilever PLC"</f>
        <v>Unilever PLC</v>
      </c>
      <c r="G41" s="3">
        <v>414</v>
      </c>
    </row>
    <row r="42" spans="1:7" x14ac:dyDescent="0.25">
      <c r="A42" s="1">
        <v>46080</v>
      </c>
      <c r="B42" t="s">
        <v>0</v>
      </c>
      <c r="C42" s="2">
        <v>6.8999999999999999E-3</v>
      </c>
      <c r="D42" t="str">
        <f>"UNP"</f>
        <v>UNP</v>
      </c>
      <c r="E42">
        <v>907818108</v>
      </c>
      <c r="F42" t="str">
        <f>"Union Pacific"</f>
        <v>Union Pacific</v>
      </c>
      <c r="G42" s="3">
        <v>54</v>
      </c>
    </row>
    <row r="43" spans="1:7" x14ac:dyDescent="0.25">
      <c r="A43" s="1">
        <v>46080</v>
      </c>
      <c r="B43" t="s">
        <v>0</v>
      </c>
      <c r="C43" s="2">
        <v>1.0800000000000001E-2</v>
      </c>
      <c r="D43" t="str">
        <f>"UPS"</f>
        <v>UPS</v>
      </c>
      <c r="E43">
        <v>911312106</v>
      </c>
      <c r="F43" t="str">
        <f>"United Parcel Service"</f>
        <v>United Parcel Service</v>
      </c>
      <c r="G43" s="3">
        <v>193</v>
      </c>
    </row>
    <row r="44" spans="1:7" x14ac:dyDescent="0.25">
      <c r="A44" s="1">
        <v>46080</v>
      </c>
      <c r="B44" t="s">
        <v>0</v>
      </c>
      <c r="C44" s="2">
        <v>9.1999999999999998E-3</v>
      </c>
      <c r="D44" t="str">
        <f>"VZ"</f>
        <v>VZ</v>
      </c>
      <c r="E44" t="str">
        <f>"92343V104"</f>
        <v>92343V104</v>
      </c>
      <c r="F44" t="str">
        <f>"Verizon"</f>
        <v>Verizon</v>
      </c>
      <c r="G44" s="3">
        <v>377</v>
      </c>
    </row>
    <row r="45" spans="1:7" x14ac:dyDescent="0.25">
      <c r="A45" s="1">
        <v>46080</v>
      </c>
      <c r="B45" t="s">
        <v>0</v>
      </c>
      <c r="C45" s="2">
        <v>2.6800000000000001E-2</v>
      </c>
      <c r="D45" t="str">
        <f>"CEF"</f>
        <v>CEF</v>
      </c>
      <c r="E45" t="str">
        <f>"85208R101"</f>
        <v>85208R101</v>
      </c>
      <c r="F45" t="str">
        <f>"Sprott Physical Gold and Silver Trust"</f>
        <v>Sprott Physical Gold and Silver Trust</v>
      </c>
      <c r="G45" s="3">
        <v>980</v>
      </c>
    </row>
    <row r="46" spans="1:7" x14ac:dyDescent="0.25">
      <c r="A46" s="1">
        <v>46080</v>
      </c>
      <c r="B46" t="s">
        <v>0</v>
      </c>
      <c r="C46" s="2">
        <v>3.2300000000000002E-2</v>
      </c>
      <c r="D46" t="str">
        <f>"CASH"</f>
        <v>CASH</v>
      </c>
      <c r="E46" t="str">
        <f>""</f>
        <v/>
      </c>
      <c r="F46" t="str">
        <f>"Cash"</f>
        <v>Cash</v>
      </c>
      <c r="G46" s="3">
        <v>66627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6A82F3E39F6D48966CE5F2A60D183C" ma:contentTypeVersion="14" ma:contentTypeDescription="Create a new document." ma:contentTypeScope="" ma:versionID="ee6fa4220ecdfcc2f6fea1f3e0d62b76">
  <xsd:schema xmlns:xsd="http://www.w3.org/2001/XMLSchema" xmlns:xs="http://www.w3.org/2001/XMLSchema" xmlns:p="http://schemas.microsoft.com/office/2006/metadata/properties" xmlns:ns2="db58b361-de72-439a-9b19-5afb42a4fe9e" xmlns:ns3="e26837be-2e64-4fb1-8d10-81cb111b0084" targetNamespace="http://schemas.microsoft.com/office/2006/metadata/properties" ma:root="true" ma:fieldsID="54ce9d38be15445670b4f969d736cc65" ns2:_="" ns3:_="">
    <xsd:import namespace="db58b361-de72-439a-9b19-5afb42a4fe9e"/>
    <xsd:import namespace="e26837be-2e64-4fb1-8d10-81cb111b0084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58b361-de72-439a-9b19-5afb42a4fe9e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96639c25-1a56-4197-b479-8befda008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6837be-2e64-4fb1-8d10-81cb111b0084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b3bc2a0c-107b-4c5c-910e-cb5bd0310dcf}" ma:internalName="TaxCatchAll" ma:showField="CatchAllData" ma:web="e26837be-2e64-4fb1-8d10-81cb111b00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Version xmlns="db58b361-de72-439a-9b19-5afb42a4fe9e" xsi:nil="true"/>
    <MigrationWizId xmlns="db58b361-de72-439a-9b19-5afb42a4fe9e" xsi:nil="true"/>
    <MigrationWizIdPermissions xmlns="db58b361-de72-439a-9b19-5afb42a4fe9e" xsi:nil="true"/>
    <TaxCatchAll xmlns="e26837be-2e64-4fb1-8d10-81cb111b0084" xsi:nil="true"/>
    <lcf76f155ced4ddcb4097134ff3c332f xmlns="db58b361-de72-439a-9b19-5afb42a4fe9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5F98E9-0215-448C-B588-56A94D4BA464}"/>
</file>

<file path=customXml/itemProps2.xml><?xml version="1.0" encoding="utf-8"?>
<ds:datastoreItem xmlns:ds="http://schemas.openxmlformats.org/officeDocument/2006/customXml" ds:itemID="{5B8B640B-F626-4C54-993E-EE73C2A3159F}"/>
</file>

<file path=customXml/itemProps3.xml><?xml version="1.0" encoding="utf-8"?>
<ds:datastoreItem xmlns:ds="http://schemas.openxmlformats.org/officeDocument/2006/customXml" ds:itemID="{E79821FB-3C82-4D92-A3A9-0D611900FC6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QDVD</vt:lpstr>
      <vt:lpstr>SMID</vt:lpstr>
      <vt:lpstr>DAC</vt:lpstr>
      <vt:lpstr>OR</vt:lpstr>
      <vt:lpstr>DCP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Adair</dc:creator>
  <cp:lastModifiedBy>Ryan Adair</cp:lastModifiedBy>
  <dcterms:created xsi:type="dcterms:W3CDTF">2026-03-02T14:57:53Z</dcterms:created>
  <dcterms:modified xsi:type="dcterms:W3CDTF">2026-03-02T14:58:05Z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9272400</vt:r8>
  </property>
  <property fmtid="{D5CDD505-2E9C-101B-9397-08002B2CF9AE}" pid="3" name="ContentTypeId">
    <vt:lpwstr>0x010100816A82F3E39F6D48966CE5F2A60D183C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